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ADI" sheetId="1" r:id="rId1"/>
    <sheet name="AALI" sheetId="2" r:id="rId2"/>
    <sheet name="ANTM" sheetId="3" r:id="rId3"/>
    <sheet name="BBCA" sheetId="4" r:id="rId4"/>
    <sheet name="BBR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6"/>
  <sheetViews>
    <sheetView workbookViewId="0"/>
  </sheetViews>
  <cols>
    <col min="1" max="1" width="38.83203125" customWidth="1"/>
    <col min="2" max="2" width="28.83203125" customWidth="1"/>
    <col min="3" max="3" width="3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C1" t="str">
        <v>AADI</v>
      </c>
      <c r="D1" t="str">
        <v>Q1</v>
      </c>
      <c r="H1" t="str">
        <v>tahun Berjalan</v>
      </c>
      <c r="I1" s="1">
        <v>45656</v>
      </c>
      <c r="J1" s="1">
        <v>45290</v>
      </c>
      <c r="K1" s="1">
        <v>44925</v>
      </c>
      <c r="L1" s="1">
        <v>44560</v>
      </c>
      <c r="M1" s="1">
        <v>44195</v>
      </c>
    </row>
    <row r="2">
      <c r="C2" t="str">
        <v>#VALUE!</v>
      </c>
      <c r="D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>
      <c r="D3" t="str">
        <v>Apr 2026</v>
      </c>
    </row>
    <row r="4">
      <c r="B4" t="str">
        <v>LABA KOTOR</v>
      </c>
      <c r="C4" t="str">
        <v>Total Pendapatan</v>
      </c>
      <c r="D4" s="2">
        <f>IFERROR(INDEX(C51:C500,MATCH($C$4,$B$51:$B$500,0)),"")</f>
        <v>0</v>
      </c>
      <c r="H4" s="2">
        <f>IFERROR(SUM(D4:G4)*(4/MAX(1,COUNT(D4:G4))),=IFERROR(INDEX(H51:H500,MATCH($C$4,$B$51:$B$500,0)),""))</f>
        <v>0</v>
      </c>
      <c r="I4" s="2">
        <f>IFERROR(INDEX(I51:I500,MATCH($C$4,$B$51:$B$500,0)),"")</f>
        <v>0</v>
      </c>
      <c r="J4" s="2">
        <f>IFERROR(INDEX(J51:J500,MATCH($C$4,$B$51:$B$500,0)),"")</f>
        <v>0</v>
      </c>
      <c r="K4" s="2">
        <f>IFERROR(INDEX(K51:K500,MATCH($C$4,$B$51:$B$500,0)),"")</f>
        <v>0</v>
      </c>
      <c r="L4" s="2">
        <f>IFERROR(INDEX(L51:L500,MATCH($C$4,$B$51:$B$500,0)),"")</f>
        <v>0</v>
      </c>
      <c r="M4" s="2">
        <f>IFERROR(INDEX(M51:M500,MATCH($C$4,$B$51:$B$500,0)),"")</f>
        <v>0</v>
      </c>
    </row>
    <row r="5">
      <c r="B5" t="str">
        <v>BERSIH</v>
      </c>
      <c r="C5" t="str">
        <v>Pemilik Entitas Induk</v>
      </c>
      <c r="D5" s="2">
        <f>IFERROR(INDEX(C51:C500,MATCH($C$5,$B$51:$B$500,0)),"")</f>
        <v>0</v>
      </c>
      <c r="H5" s="2">
        <f>IFERROR(SUM(D5:G5)*(4/MAX(1,COUNT(D5:G5))),=IFERROR(INDEX(H51:H500,MATCH($C$5,$B$51:$B$500,0)),""))</f>
        <v>0</v>
      </c>
      <c r="I5" s="2">
        <f>IFERROR(INDEX(I51:I500,MATCH($C$5,$B$51:$B$500,0)),"")</f>
        <v>0</v>
      </c>
      <c r="J5" s="2">
        <f>IFERROR(INDEX(J51:J500,MATCH($C$5,$B$51:$B$500,0)),"")</f>
        <v>0</v>
      </c>
      <c r="K5" s="2">
        <f>IFERROR(INDEX(K51:K500,MATCH($C$5,$B$51:$B$500,0)),"")</f>
        <v>0</v>
      </c>
      <c r="L5" s="2">
        <f>IFERROR(INDEX(L51:L500,MATCH($C$5,$B$51:$B$500,0)),"")</f>
        <v>0</v>
      </c>
      <c r="M5" s="2">
        <f>IFERROR(INDEX(M51:M500,MATCH($C$5,$B$51:$B$500,0)),"")</f>
        <v>0</v>
      </c>
    </row>
    <row r="6">
      <c r="B6" t="str">
        <v>EQUITY</v>
      </c>
      <c r="C6" t="str">
        <v>Total Ekuitas</v>
      </c>
      <c r="D6" s="2">
        <f>IFERROR(INDEX(C51:C500,MATCH($C$6,$B$51:$B$500,0)),"")</f>
        <v>0</v>
      </c>
      <c r="H6" s="2">
        <f>IFERROR(INDEX(H51:H500,MATCH($C$6,$B$51:$B$500,0)),"")</f>
        <v>0</v>
      </c>
      <c r="I6" s="2">
        <f>IFERROR(INDEX(I51:I500,MATCH($C$6,$B$51:$B$500,0)),"")</f>
        <v>0</v>
      </c>
      <c r="J6" s="2">
        <f>IFERROR(INDEX(J51:J500,MATCH($C$6,$B$51:$B$500,0)),"")</f>
        <v>0</v>
      </c>
      <c r="K6" s="2">
        <f>IFERROR(INDEX(K51:K500,MATCH($C$6,$B$51:$B$500,0)),"")</f>
        <v>0</v>
      </c>
      <c r="L6" s="2">
        <f>IFERROR(INDEX(L51:L500,MATCH($C$6,$B$51:$B$500,0)),"")</f>
        <v>0</v>
      </c>
      <c r="M6" s="2">
        <f>IFERROR(INDEX(M51:M500,MATCH($C$6,$B$51:$B$500,0)),"")</f>
        <v>0</v>
      </c>
    </row>
    <row r="7">
      <c r="B7" t="str">
        <v>SAHAM BEREDAR</v>
      </c>
      <c r="C7" t="str">
        <v>Share Outstanding</v>
      </c>
      <c r="D7" s="2">
        <f>IFERROR(INDEX(C51:C500,MATCH("Share Outstanding",$B$51:$B$500,0)),IFERROR(INDEX(C51:C500,MATCH($C$7,$B$51:$B$500,0)),""))</f>
        <v>0</v>
      </c>
      <c r="H7" s="2">
        <f>IFERROR(INDEX(H51:H500,MATCH($C$7,$B$51:$B$500,0)),"")</f>
        <v>0</v>
      </c>
      <c r="I7" s="2">
        <f>IFERROR(INDEX(I51:I500,MATCH($C$7,$B$51:$B$500,0)),"")</f>
        <v>0</v>
      </c>
      <c r="J7" s="2">
        <f>IFERROR(INDEX(J51:J500,MATCH($C$7,$B$51:$B$500,0)),"")</f>
        <v>0</v>
      </c>
      <c r="K7" s="2">
        <f>IFERROR(INDEX(K51:K500,MATCH($C$7,$B$51:$B$500,0)),"")</f>
        <v>0</v>
      </c>
      <c r="L7" s="2">
        <f>IFERROR(INDEX(L51:L500,MATCH($C$7,$B$51:$B$500,0)),"")</f>
        <v>0</v>
      </c>
      <c r="M7" s="2">
        <f>IFERROR(INDEX(M51:M500,MATCH($C$7,$B$51:$B$500,0)),"")</f>
        <v>0</v>
      </c>
    </row>
    <row r="8">
      <c r="A8" t="str">
        <v>Free cash flow (Quarter)</v>
      </c>
      <c r="B8" t="str">
        <v>FCF</v>
      </c>
      <c r="C8" t="str">
        <v>Free cash flow (Annual)</v>
      </c>
      <c r="D8" s="2">
        <f>IFERROR(INDEX(C51:C500,MATCH("Free cash flow (Quarter)",$B$51:$B$500,0)),"")</f>
        <v>0</v>
      </c>
      <c r="H8" s="2">
        <f>IFERROR(INDEX(H51:H500,MATCH($C$8,$B$51:$B$500,0)),"")</f>
        <v>0</v>
      </c>
      <c r="I8" s="2">
        <f>IFERROR(INDEX(I51:I500,MATCH($C$8,$B$51:$B$500,0)),"")</f>
        <v>0</v>
      </c>
      <c r="J8" s="2">
        <f>IFERROR(INDEX(J51:J500,MATCH($C$8,$B$51:$B$500,0)),"")</f>
        <v>0</v>
      </c>
      <c r="K8" s="2">
        <f>IFERROR(INDEX(K51:K500,MATCH($C$8,$B$51:$B$500,0)),"")</f>
        <v>0</v>
      </c>
      <c r="L8" s="2">
        <f>IFERROR(INDEX(L51:L500,MATCH($C$8,$B$51:$B$500,0)),"")</f>
        <v>0</v>
      </c>
      <c r="M8" s="2">
        <f>IFERROR(INDEX(M51:M500,MATCH($C$8,$B$51:$B$500,0)),"")</f>
        <v>0</v>
      </c>
    </row>
    <row r="9">
      <c r="A9" t="str">
        <v>Free cash flow per share (Quarter)</v>
      </c>
      <c r="C9" t="str">
        <v>Free cash flow per share (Annual)</v>
      </c>
      <c r="D9" s="2">
        <f>IFERROR(INDEX(C51:C500,MATCH("Free cash flow per share (Quarter)",$B$51:$B$500,0)),"")</f>
        <v>0</v>
      </c>
      <c r="H9" s="2">
        <f>IFERROR(INDEX(H51:H500,MATCH($C$9,$B$51:$B$500,0)),"")</f>
        <v>0</v>
      </c>
      <c r="I9" s="2">
        <f>IFERROR(INDEX(I51:I500,MATCH($C$9,$B$51:$B$500,0)),"")</f>
        <v>0</v>
      </c>
      <c r="J9" s="2">
        <f>IFERROR(INDEX(J51:J500,MATCH($C$9,$B$51:$B$500,0)),"")</f>
        <v>0</v>
      </c>
      <c r="K9" s="2">
        <f>IFERROR(INDEX(K51:K500,MATCH($C$9,$B$51:$B$500,0)),"")</f>
        <v>0</v>
      </c>
      <c r="L9" s="2">
        <f>IFERROR(INDEX(L51:L500,MATCH($C$9,$B$51:$B$500,0)),"")</f>
        <v>0</v>
      </c>
      <c r="M9" s="2">
        <f>IFERROR(INDEX(M51:M500,MATCH($C$9,$B$51:$B$500,0)),"")</f>
        <v>0</v>
      </c>
    </row>
    <row r="10">
      <c r="C10" t="str">
        <v>Price to Free Cash Flow (P/FCF)</v>
      </c>
      <c r="D10" s="2">
        <f>IFERROR(IF(D9=0,"",D2/D9),"")</f>
        <v>0</v>
      </c>
      <c r="I10" s="2">
        <f>IFERROR(IF(I9=0,"",I2/I9),"")</f>
        <v>0</v>
      </c>
      <c r="J10" s="2">
        <f>IFERROR(IF(J9=0,"",J2/J9),"")</f>
        <v>0</v>
      </c>
      <c r="K10" s="2">
        <f>IFERROR(IF(K9=0,"",K2/K9),"")</f>
        <v>0</v>
      </c>
      <c r="L10" s="2">
        <f>IFERROR(IF(L9=0,"",L2/L9),"")</f>
        <v>0</v>
      </c>
      <c r="M10" s="2">
        <f>IFERROR(IF(M9=0,"",M2/M9),"")</f>
        <v>0</v>
      </c>
    </row>
    <row r="11">
      <c r="B11" t="str">
        <v>Total Kas</v>
      </c>
      <c r="C11" t="str">
        <v>Kas Dan Setara Kas</v>
      </c>
      <c r="D11" s="2">
        <f>IFERROR(INDEX(C51:C500,MATCH($C$11,$B$51:$B$500,0)),"")</f>
        <v>0</v>
      </c>
      <c r="H11" s="2">
        <f>IFERROR(INDEX(H51:H500,MATCH($C$11,$B$51:$B$500,0)),"")</f>
        <v>0</v>
      </c>
      <c r="I11" s="2">
        <f>IFERROR(INDEX(I51:I500,MATCH($C$11,$B$51:$B$500,0)),"")</f>
        <v>0</v>
      </c>
      <c r="J11" s="2">
        <f>IFERROR(INDEX(J51:J500,MATCH($C$11,$B$51:$B$500,0)),"")</f>
        <v>0</v>
      </c>
      <c r="K11" s="2">
        <f>IFERROR(INDEX(K51:K500,MATCH($C$11,$B$51:$B$500,0)),"")</f>
        <v>0</v>
      </c>
      <c r="L11" s="2">
        <f>IFERROR(INDEX(L51:L500,MATCH($C$11,$B$51:$B$500,0)),"")</f>
        <v>0</v>
      </c>
      <c r="M11" s="2">
        <f>IFERROR(INDEX(M51:M500,MATCH($C$11,$B$51:$B$500,0)),"")</f>
        <v>0</v>
      </c>
    </row>
    <row r="12">
      <c r="A12" t="str">
        <v>Net Debt (Quarter)</v>
      </c>
      <c r="B12" t="str">
        <v>Net hutang sudah di kurangi kas</v>
      </c>
      <c r="C12" t="str">
        <v>Net Debt (Annual)</v>
      </c>
      <c r="D12" s="2">
        <f>IFERROR(INDEX(C51:C500,MATCH("Net Debt (Quarter)",$B$51:$B$500,0)),"")</f>
        <v>0</v>
      </c>
      <c r="H12" s="2">
        <f>IFERROR(INDEX(H51:H500,MATCH($C$12,$B$51:$B$500,0)),"")</f>
        <v>0</v>
      </c>
      <c r="I12" s="2">
        <f>IFERROR(INDEX(I51:I500,MATCH($C$12,$B$51:$B$500,0)),"")</f>
        <v>0</v>
      </c>
      <c r="J12" s="2">
        <f>IFERROR(INDEX(J51:J500,MATCH($C$12,$B$51:$B$500,0)),"")</f>
        <v>0</v>
      </c>
      <c r="K12" s="2">
        <f>IFERROR(INDEX(K51:K500,MATCH($C$12,$B$51:$B$500,0)),"")</f>
        <v>0</v>
      </c>
      <c r="L12" s="2">
        <f>IFERROR(INDEX(L51:L500,MATCH($C$12,$B$51:$B$500,0)),"")</f>
        <v>0</v>
      </c>
      <c r="M12" s="2">
        <f>IFERROR(INDEX(M51:M500,MATCH($C$12,$B$51:$B$500,0)),"")</f>
        <v>0</v>
      </c>
    </row>
    <row r="13">
      <c r="A13" t="str">
        <v>Total Debt (Quarter)</v>
      </c>
      <c r="B13" t="str">
        <v>WACC</v>
      </c>
      <c r="C13" t="str">
        <v>Total Debt (Annual)</v>
      </c>
      <c r="D13" s="2">
        <f>IFERROR(INDEX(C51:C500,MATCH("Total Debt (Quarter)",$B$51:$B$500,0)),"")</f>
        <v>0</v>
      </c>
      <c r="H13" s="2">
        <f>IFERROR(INDEX(H51:H500,MATCH($C$13,$B$51:$B$500,0)),"")</f>
        <v>0</v>
      </c>
      <c r="I13" s="2">
        <f>IFERROR(INDEX(I51:I500,MATCH($C$13,$B$51:$B$500,0)),"")</f>
        <v>0</v>
      </c>
      <c r="J13" s="2">
        <f>IFERROR(INDEX(J51:J500,MATCH($C$13,$B$51:$B$500,0)),"")</f>
        <v>0</v>
      </c>
      <c r="K13" s="2">
        <f>IFERROR(INDEX(K51:K500,MATCH($C$13,$B$51:$B$500,0)),"")</f>
        <v>0</v>
      </c>
      <c r="L13" s="2">
        <f>IFERROR(INDEX(L51:L500,MATCH($C$13,$B$51:$B$500,0)),"")</f>
        <v>0</v>
      </c>
      <c r="M13" s="2">
        <f>IFERROR(INDEX(M51:M500,MATCH($C$13,$B$51:$B$500,0)),"")</f>
        <v>0</v>
      </c>
    </row>
    <row r="14">
      <c r="C14" t="str">
        <v>Beban Keuangan</v>
      </c>
      <c r="D14" s="2">
        <f>IFERROR(INDEX(C51:C500,MATCH($C$14,$B$51:$B$500,0)),"")</f>
        <v>0</v>
      </c>
      <c r="H14" s="2">
        <f>IFERROR(SUM(D14:G14)*(4/MAX(1,COUNT(D14:G14))),=IFERROR(INDEX(H51:H500,MATCH($C$14,$B$51:$B$500,0)),""))</f>
        <v>0</v>
      </c>
      <c r="I14" s="2">
        <f>IFERROR(INDEX(I51:I500,MATCH($C$14,$B$51:$B$500,0)),"")</f>
        <v>0</v>
      </c>
      <c r="J14" s="2">
        <f>IFERROR(INDEX(J51:J500,MATCH($C$14,$B$51:$B$500,0)),"")</f>
        <v>0</v>
      </c>
      <c r="K14" s="2">
        <f>IFERROR(INDEX(K51:K500,MATCH($C$14,$B$51:$B$500,0)),"")</f>
        <v>0</v>
      </c>
      <c r="L14" s="2">
        <f>IFERROR(INDEX(L51:L500,MATCH($C$14,$B$51:$B$500,0)),"")</f>
        <v>0</v>
      </c>
      <c r="M14" s="2">
        <f>IFERROR(INDEX(M51:M500,MATCH($C$14,$B$51:$B$500,0)),"")</f>
        <v>0</v>
      </c>
    </row>
    <row r="15">
      <c r="C15" t="str">
        <v>Beban Pajak Penghasilan</v>
      </c>
      <c r="D15" s="2">
        <f>IFERROR(INDEX(C51:C500,MATCH($C$15,$B$51:$B$500,0)),"")</f>
        <v>0</v>
      </c>
      <c r="H15" s="2">
        <f>IFERROR(SUM(D15:G15)*(4/MAX(1,COUNT(D15:G15))),=IFERROR(INDEX(H51:H500,MATCH($C$15,$B$51:$B$500,0)),""))</f>
        <v>0</v>
      </c>
      <c r="I15" s="2">
        <f>IFERROR(INDEX(I51:I500,MATCH($C$15,$B$51:$B$500,0)),"")</f>
        <v>0</v>
      </c>
      <c r="J15" s="2">
        <f>IFERROR(INDEX(J51:J500,MATCH($C$15,$B$51:$B$500,0)),"")</f>
        <v>0</v>
      </c>
      <c r="K15" s="2">
        <f>IFERROR(INDEX(K51:K500,MATCH($C$15,$B$51:$B$500,0)),"")</f>
        <v>0</v>
      </c>
      <c r="L15" s="2">
        <f>IFERROR(INDEX(L51:L500,MATCH($C$15,$B$51:$B$500,0)),"")</f>
        <v>0</v>
      </c>
      <c r="M15" s="2">
        <f>IFERROR(INDEX(M51:M500,MATCH($C$15,$B$51:$B$500,0)),"")</f>
        <v>0</v>
      </c>
    </row>
    <row r="16">
      <c r="C16" t="str">
        <v>Laba Sebelum Pajak</v>
      </c>
      <c r="D16" s="2">
        <f>IFERROR(INDEX(C51:C500,MATCH($C$16,$B$51:$B$500,0)),"")</f>
        <v>0</v>
      </c>
      <c r="H16" s="2">
        <f>IFERROR(SUM(D16:G16)*(4/MAX(1,COUNT(D16:G16))),=IFERROR(INDEX(H51:H500,MATCH($C$16,$B$51:$B$500,0)),""))</f>
        <v>0</v>
      </c>
      <c r="I16" s="2">
        <f>IFERROR(INDEX(I51:I500,MATCH($C$16,$B$51:$B$500,0)),"")</f>
        <v>0</v>
      </c>
      <c r="J16" s="2">
        <f>IFERROR(INDEX(J51:J500,MATCH($C$16,$B$51:$B$500,0)),"")</f>
        <v>0</v>
      </c>
      <c r="K16" s="2">
        <f>IFERROR(INDEX(K51:K500,MATCH($C$16,$B$51:$B$500,0)),"")</f>
        <v>0</v>
      </c>
      <c r="L16" s="2">
        <f>IFERROR(INDEX(L51:L500,MATCH($C$16,$B$51:$B$500,0)),"")</f>
        <v>0</v>
      </c>
      <c r="M16" s="2">
        <f>IFERROR(INDEX(M51:M500,MATCH($C$16,$B$51:$B$500,0)),"")</f>
        <v>0</v>
      </c>
    </row>
    <row r="17">
      <c r="A17" t="str">
        <v>Cara Membaca P/FCF</v>
      </c>
    </row>
    <row r="18">
      <c r="A18" t="str">
        <v>Rendah (misal &lt; 15)</v>
      </c>
      <c r="D18" t="str">
        <v>Q1</v>
      </c>
      <c r="H18" t="str">
        <v>tahun Berjalan</v>
      </c>
      <c r="I18" t="str">
        <v>12M 2024</v>
      </c>
      <c r="J18" t="str">
        <v>12M 2023</v>
      </c>
      <c r="K18" t="str">
        <v>12M 2022</v>
      </c>
      <c r="L18" t="str">
        <v>12M 2021</v>
      </c>
      <c r="M18" t="str">
        <v>12M 2020</v>
      </c>
    </row>
    <row r="19">
      <c r="A19" t="str">
        <v>Tinggi (misal &gt; 30)</v>
      </c>
      <c r="C19" t="str">
        <v>Dalam IDR</v>
      </c>
    </row>
    <row r="20">
      <c r="A20" t="str">
        <v>FCF negatif — perusahaan belum menghasilkan kas bebas</v>
      </c>
      <c r="C20" t="str">
        <v>Market Cap</v>
      </c>
      <c r="D20" s="2">
        <f>D21*D2</f>
        <v>0</v>
      </c>
      <c r="H20" s="2">
        <f>H21*H2</f>
        <v>0</v>
      </c>
      <c r="I20" s="2">
        <f>I21*I2</f>
        <v>0</v>
      </c>
      <c r="J20" s="2">
        <f>J21*J2</f>
        <v>0</v>
      </c>
      <c r="K20" s="2">
        <f>K21*K2</f>
        <v>0</v>
      </c>
      <c r="L20" s="2">
        <f>L21*L2</f>
        <v>0</v>
      </c>
      <c r="M20" s="2">
        <f>M21*M2</f>
        <v>0</v>
      </c>
    </row>
    <row r="21">
      <c r="C21" t="str">
        <v>Share Outstanding</v>
      </c>
      <c r="D21" s="2">
        <f>IFERROR(INDEX(C51:C500,MATCH("Share Outstanding",$B$51:$B$500,0)),"")</f>
        <v>0</v>
      </c>
      <c r="H21" s="2">
        <f>IFERROR(INDEX(H51:H500,MATCH("Share Outstanding",$B$51:$B$500,0)),"")</f>
        <v>0</v>
      </c>
      <c r="I21" s="2">
        <f>IFERROR(INDEX(I51:I500,MATCH("Share Outstanding",$B$51:$B$500,0)),"")</f>
        <v>0</v>
      </c>
      <c r="J21" s="2">
        <f>IFERROR(INDEX(J51:J500,MATCH("Share Outstanding",$B$51:$B$500,0)),"")</f>
        <v>0</v>
      </c>
      <c r="K21" s="2">
        <f>IFERROR(INDEX(K51:K500,MATCH("Share Outstanding",$B$51:$B$500,0)),"")</f>
        <v>0</v>
      </c>
      <c r="L21" s="2">
        <f>IFERROR(INDEX(L51:L500,MATCH("Share Outstanding",$B$51:$B$500,0)),"")</f>
        <v>0</v>
      </c>
      <c r="M21" s="2">
        <f>IFERROR(INDEX(M51:M500,MATCH("Share Outstanding",$B$51:$B$500,0)),"")</f>
        <v>0</v>
      </c>
    </row>
    <row r="23">
      <c r="B23" t="str">
        <v>MANUAL</v>
      </c>
      <c r="C23" t="str">
        <v>ROE</v>
      </c>
      <c r="D23" s="2">
        <f>IFERROR(D5/D6*100,"")</f>
        <v>0</v>
      </c>
      <c r="H23" s="2">
        <f>IFERROR(H5/H6*100,"")</f>
        <v>0</v>
      </c>
      <c r="I23" s="2">
        <f>IFERROR(I5/I6*100,"")</f>
        <v>0</v>
      </c>
      <c r="J23" s="2">
        <f>IFERROR(J5/J6*100,"")</f>
        <v>0</v>
      </c>
      <c r="K23" s="2">
        <f>IFERROR(K5/K6*100,"")</f>
        <v>0</v>
      </c>
      <c r="L23" s="2">
        <f>IFERROR(L5/L6*100,"")</f>
        <v>0</v>
      </c>
      <c r="M23" s="2">
        <f>IFERROR(M5/M6*100,"")</f>
        <v>0</v>
      </c>
    </row>
    <row r="24">
      <c r="C24" t="str">
        <v>ROE 5 Tahun</v>
      </c>
      <c r="D24" s="2">
        <f>IFERROR(RRI(5,I23,D23),"")</f>
        <v>0</v>
      </c>
      <c r="H24" s="2">
        <f>IFERROR(RRI(5,M23,H23),"")</f>
        <v>0</v>
      </c>
      <c r="I24" s="2">
        <f>IFERROR(RRI(5,N23,I23),"")</f>
        <v>0</v>
      </c>
      <c r="J24" s="2">
        <f>IFERROR(RRI(5,O23,J23),"")</f>
        <v>0</v>
      </c>
      <c r="K24" s="2">
        <f>IFERROR(RRI(5,P23,K23),"")</f>
        <v>0</v>
      </c>
      <c r="L24" s="2">
        <f>IFERROR(RRI(5,Q23,L23),"")</f>
        <v>0</v>
      </c>
      <c r="M24" s="2">
        <f>IFERROR(RRI(5,R23,M23),"")</f>
        <v>0</v>
      </c>
    </row>
    <row r="25">
      <c r="A25" t="str">
        <v>EPS</v>
      </c>
      <c r="C25" t="str">
        <v>EPS (Annual)</v>
      </c>
      <c r="D25" s="2">
        <f>IFERROR(INDEX(C51:C500,MATCH($A$25,$B$51:$B$500,0)),"")</f>
        <v>0</v>
      </c>
      <c r="H25" s="2">
        <f>IFERROR(INDEX(H51:H500,MATCH($C$25,$B$51:$B$500,0)),"")</f>
        <v>0</v>
      </c>
      <c r="I25" s="2">
        <f>IFERROR(INDEX(I51:I500,MATCH($C$25,$B$51:$B$500,0)),"")</f>
        <v>0</v>
      </c>
      <c r="J25" s="2">
        <f>IFERROR(INDEX(J51:J500,MATCH($C$25,$B$51:$B$500,0)),"")</f>
        <v>0</v>
      </c>
      <c r="K25" s="2">
        <f>IFERROR(INDEX(K51:K500,MATCH($C$25,$B$51:$B$500,0)),"")</f>
        <v>0</v>
      </c>
      <c r="L25" s="2">
        <f>IFERROR(INDEX(L51:L500,MATCH($C$25,$B$51:$B$500,0)),"")</f>
        <v>0</v>
      </c>
      <c r="M25" s="2">
        <f>IFERROR(INDEX(M51:M500,MATCH($C$25,$B$51:$B$500,0)),"")</f>
        <v>0</v>
      </c>
    </row>
    <row r="26">
      <c r="C26" t="str">
        <v>EPS Growth 5 Tahun</v>
      </c>
      <c r="D26" s="2">
        <f>IFERROR(RRI(5,I25,D25),"")</f>
        <v>0</v>
      </c>
      <c r="H26" s="2">
        <f>IFERROR(RRI(5,M25,H25),"")</f>
        <v>0</v>
      </c>
      <c r="I26" s="2">
        <f>IFERROR(RRI(5,N25,I25),"")</f>
        <v>0</v>
      </c>
      <c r="J26" s="2">
        <f>IFERROR(RRI(5,O25,J25),"")</f>
        <v>0</v>
      </c>
      <c r="K26" s="2">
        <f>IFERROR(RRI(5,P25,K25),"")</f>
        <v>0</v>
      </c>
      <c r="L26" s="2">
        <f>IFERROR(RRI(5,Q25,L25),"")</f>
        <v>0</v>
      </c>
      <c r="M26" s="2">
        <f>IFERROR(RRI(5,R25,M25),"")</f>
        <v>0</v>
      </c>
    </row>
    <row r="27">
      <c r="C27" t="str">
        <v>SPS</v>
      </c>
      <c r="D27" s="2">
        <f>IFERROR(D4/D21,"")</f>
        <v>0</v>
      </c>
      <c r="H27" s="2">
        <f>IFERROR(H4/H21,"")</f>
        <v>0</v>
      </c>
      <c r="I27" s="2">
        <f>IFERROR(I4/I21,"")</f>
        <v>0</v>
      </c>
      <c r="J27" s="2">
        <f>IFERROR(J4/J21,"")</f>
        <v>0</v>
      </c>
      <c r="K27" s="2">
        <f>IFERROR(K4/K21,"")</f>
        <v>0</v>
      </c>
      <c r="L27" s="2">
        <f>IFERROR(L4/L21,"")</f>
        <v>0</v>
      </c>
      <c r="M27" s="2">
        <f>IFERROR(M4/M21,"")</f>
        <v>0</v>
      </c>
    </row>
    <row r="28">
      <c r="C28" t="str">
        <v>SPS Growth 5 Tahun</v>
      </c>
      <c r="D28" s="2">
        <f>IFERROR(RRI(5,I27,D27),"")</f>
        <v>0</v>
      </c>
      <c r="H28" s="2">
        <f>IFERROR(RRI(5,M27,H27),"")</f>
        <v>0</v>
      </c>
      <c r="I28" s="2">
        <f>IFERROR(RRI(5,N27,I27),"")</f>
        <v>0</v>
      </c>
      <c r="J28" s="2">
        <f>IFERROR(RRI(5,O27,J27),"")</f>
        <v>0</v>
      </c>
      <c r="K28" s="2">
        <f>IFERROR(RRI(5,P27,K27),"")</f>
        <v>0</v>
      </c>
      <c r="L28" s="2">
        <f>IFERROR(RRI(5,Q27,L27),"")</f>
        <v>0</v>
      </c>
      <c r="M28" s="2">
        <f>IFERROR(RRI(5,R27,M27),"")</f>
        <v>0</v>
      </c>
    </row>
    <row r="32">
      <c r="A32" t="str">
        <v>Book Value Per Share (quarter)</v>
      </c>
      <c r="B32" t="str">
        <v>Book Value</v>
      </c>
      <c r="C32" t="str">
        <v>Book Value Per Share (Annual)</v>
      </c>
      <c r="D32" s="2">
        <f>IFERROR(INDEX(C51:C500,MATCH($A$32,$B$51:$B$500,0)),"")</f>
        <v>0</v>
      </c>
      <c r="H32" s="2">
        <f>IFERROR(INDEX(H51:H500,MATCH($C$32,$B$51:$B$500,0)),"")</f>
        <v>0</v>
      </c>
      <c r="I32" s="2">
        <f>IFERROR(INDEX(I51:I500,MATCH($C$32,$B$51:$B$500,0)),"")</f>
        <v>0</v>
      </c>
      <c r="J32" s="2">
        <f>IFERROR(INDEX(J51:J500,MATCH($C$32,$B$51:$B$500,0)),"")</f>
        <v>0</v>
      </c>
      <c r="K32" s="2">
        <f>IFERROR(INDEX(K51:K500,MATCH($C$32,$B$51:$B$500,0)),"")</f>
        <v>0</v>
      </c>
      <c r="L32" s="2">
        <f>IFERROR(INDEX(L51:L500,MATCH($C$32,$B$51:$B$500,0)),"")</f>
        <v>0</v>
      </c>
      <c r="M32" s="2">
        <f>IFERROR(INDEX(M51:M500,MATCH($C$32,$B$51:$B$500,0)),"")</f>
        <v>0</v>
      </c>
    </row>
    <row r="33">
      <c r="A33" t="str">
        <v>Price to Book Value (quarter)</v>
      </c>
      <c r="B33" t="str">
        <v>PBV</v>
      </c>
      <c r="C33" t="str">
        <v>Price to Book Value (Annual)</v>
      </c>
      <c r="D33" s="2">
        <f>IFERROR(INDEX(C51:C500,MATCH($A$33,$B$51:$B$500,0)),"")</f>
        <v>0</v>
      </c>
      <c r="H33" s="2">
        <f>IFERROR(INDEX(H51:H500,MATCH($C$33,$B$51:$B$500,0)),"")</f>
        <v>0</v>
      </c>
      <c r="I33" s="2">
        <f>IFERROR(INDEX(I51:I500,MATCH($C$33,$B$51:$B$500,0)),"")</f>
        <v>0</v>
      </c>
      <c r="J33" s="2">
        <f>IFERROR(INDEX(J51:J500,MATCH($C$33,$B$51:$B$500,0)),"")</f>
        <v>0</v>
      </c>
      <c r="K33" s="2">
        <f>IFERROR(INDEX(K51:K500,MATCH($C$33,$B$51:$B$500,0)),"")</f>
        <v>0</v>
      </c>
      <c r="L33" s="2">
        <f>IFERROR(INDEX(L51:L500,MATCH($C$33,$B$51:$B$500,0)),"")</f>
        <v>0</v>
      </c>
      <c r="M33" s="2">
        <f>IFERROR(INDEX(M51:M500,MATCH($C$33,$B$51:$B$500,0)),"")</f>
        <v>0</v>
      </c>
    </row>
    <row r="34">
      <c r="A34" t="str">
        <v>PE Ratio (quarter)</v>
      </c>
      <c r="B34" t="str">
        <v>PER</v>
      </c>
      <c r="C34" t="str">
        <v>PE Ratio (Annual)</v>
      </c>
      <c r="D34" s="2">
        <f>IFERROR(INDEX(C51:C500,MATCH($A$34,$B$51:$B$500,0)),"")</f>
        <v>0</v>
      </c>
      <c r="H34" s="2">
        <f>IFERROR(INDEX(H51:H500,MATCH($C$34,$B$51:$B$500,0)),"")</f>
        <v>0</v>
      </c>
      <c r="I34" s="2">
        <f>IFERROR(INDEX(I51:I500,MATCH($C$34,$B$51:$B$500,0)),"")</f>
        <v>0</v>
      </c>
      <c r="J34" s="2">
        <f>IFERROR(INDEX(J51:J500,MATCH($C$34,$B$51:$B$500,0)),"")</f>
        <v>0</v>
      </c>
      <c r="K34" s="2">
        <f>IFERROR(INDEX(K51:K500,MATCH($C$34,$B$51:$B$500,0)),"")</f>
        <v>0</v>
      </c>
      <c r="L34" s="2">
        <f>IFERROR(INDEX(L51:L500,MATCH($C$34,$B$51:$B$500,0)),"")</f>
        <v>0</v>
      </c>
      <c r="M34" s="2">
        <f>IFERROR(INDEX(M51:M500,MATCH($C$34,$B$51:$B$500,0)),"")</f>
        <v>0</v>
      </c>
    </row>
    <row r="35">
      <c r="A35" t="str">
        <v>Price to Sales (Quarter)</v>
      </c>
      <c r="B35" t="str">
        <v>PSR</v>
      </c>
      <c r="C35" t="str">
        <v>Price to Sales (Annual)</v>
      </c>
      <c r="D35" s="2">
        <f>IFERROR(INDEX(C51:C500,MATCH($A$35,$B$51:$B$500,0)),"")</f>
        <v>0</v>
      </c>
      <c r="H35" s="2">
        <f>IFERROR(INDEX(H51:H500,MATCH($C$35,$B$51:$B$500,0)),"")</f>
        <v>0</v>
      </c>
      <c r="I35" s="2">
        <f>IFERROR(INDEX(I51:I500,MATCH($C$35,$B$51:$B$500,0)),"")</f>
        <v>0</v>
      </c>
      <c r="J35" s="2">
        <f>IFERROR(INDEX(J51:J500,MATCH($C$35,$B$51:$B$500,0)),"")</f>
        <v>0</v>
      </c>
      <c r="K35" s="2">
        <f>IFERROR(INDEX(K51:K500,MATCH($C$35,$B$51:$B$500,0)),"")</f>
        <v>0</v>
      </c>
      <c r="L35" s="2">
        <f>IFERROR(INDEX(L51:L500,MATCH($C$35,$B$51:$B$500,0)),"")</f>
        <v>0</v>
      </c>
      <c r="M35" s="2">
        <f>IFERROR(INDEX(M51:M500,MATCH($C$35,$B$51:$B$500,0)),"")</f>
        <v>0</v>
      </c>
    </row>
    <row r="36">
      <c r="B36" t="str">
        <v>DPR</v>
      </c>
      <c r="C36" t="str">
        <v>Net Income - Payout Ratio</v>
      </c>
      <c r="D36" s="2">
        <f>IFERROR(INDEX(D51:D500,MATCH($C$36,$B$51:$B$500,0)),"")</f>
        <v>0</v>
      </c>
      <c r="H36" s="2">
        <f>IFERROR(INDEX(H51:H500,MATCH($C$36,$B$51:$B$500,0)),"")</f>
        <v>0</v>
      </c>
      <c r="I36" s="2">
        <f>IFERROR(INDEX(I51:I500,MATCH($C$36,$B$51:$B$500,0)),"")</f>
        <v>0</v>
      </c>
      <c r="J36" s="2">
        <f>IFERROR(INDEX(J51:J500,MATCH($C$36,$B$51:$B$500,0)),"")</f>
        <v>0</v>
      </c>
      <c r="K36" s="2">
        <f>IFERROR(INDEX(K51:K500,MATCH($C$36,$B$51:$B$500,0)),"")</f>
        <v>0</v>
      </c>
      <c r="L36" s="2">
        <f>IFERROR(INDEX(L51:L500,MATCH($C$36,$B$51:$B$500,0)),"")</f>
        <v>0</v>
      </c>
      <c r="M36" s="2">
        <f>IFERROR(INDEX(M51:M500,MATCH($C$36,$B$51:$B$500,0)),"")</f>
        <v>0</v>
      </c>
    </row>
    <row r="37">
      <c r="B37" t="str">
        <v>DPS</v>
      </c>
      <c r="C37" t="str">
        <v>EPS - Div (TTM)</v>
      </c>
      <c r="D37" s="2">
        <f>IFERROR(INDEX(D51:D500,MATCH($C$37,$B$51:$B$500,0)),"")</f>
        <v>0</v>
      </c>
      <c r="H37" s="2">
        <f>IFERROR(INDEX(H51:H500,MATCH($C$37,$B$51:$B$500,0)),"")</f>
        <v>0</v>
      </c>
      <c r="I37" s="2">
        <f>IFERROR(INDEX(I51:I500,MATCH($C$37,$B$51:$B$500,0)),"")</f>
        <v>0</v>
      </c>
      <c r="J37" s="2">
        <f>IFERROR(INDEX(J51:J500,MATCH($C$37,$B$51:$B$500,0)),"")</f>
        <v>0</v>
      </c>
      <c r="K37" s="2">
        <f>IFERROR(INDEX(K51:K500,MATCH($C$37,$B$51:$B$500,0)),"")</f>
        <v>0</v>
      </c>
      <c r="L37" s="2">
        <f>IFERROR(INDEX(L51:L500,MATCH($C$37,$B$51:$B$500,0)),"")</f>
        <v>0</v>
      </c>
      <c r="M37" s="2">
        <f>IFERROR(INDEX(M51:M500,MATCH($C$37,$B$51:$B$500,0)),"")</f>
        <v>0</v>
      </c>
    </row>
    <row r="51">
      <c r="C51" t="str">
        <v>Q1 2026</v>
      </c>
      <c r="D51" t="str">
        <v>Q4 2025</v>
      </c>
      <c r="E51" t="str">
        <v>Q3 2025</v>
      </c>
      <c r="F51" t="str">
        <v>Q2 2025</v>
      </c>
      <c r="G51" t="str">
        <v>2026</v>
      </c>
      <c r="H51" t="str">
        <v>12M 2025</v>
      </c>
      <c r="I51" t="str">
        <v>12M 2024</v>
      </c>
      <c r="J51" t="str">
        <v>12M 2023</v>
      </c>
      <c r="K51" t="str">
        <v>12M 2022</v>
      </c>
      <c r="L51" t="str">
        <v>12M 2021</v>
      </c>
    </row>
    <row r="52">
      <c r="A52" t="str">
        <v>Income Statement</v>
      </c>
      <c r="B52" t="str">
        <v>Total Pendapatan</v>
      </c>
      <c r="C52" s="2">
        <v>1044192000</v>
      </c>
      <c r="D52" s="2">
        <v>1301135000</v>
      </c>
      <c r="E52" s="2">
        <v>1209573000</v>
      </c>
      <c r="F52" s="2">
        <v>1235118000</v>
      </c>
      <c r="H52" s="2">
        <v>4910263000</v>
      </c>
      <c r="I52" s="2">
        <v>5319582000</v>
      </c>
      <c r="J52" s="2">
        <v>5915408000</v>
      </c>
      <c r="K52" s="2">
        <v>7725933000</v>
      </c>
      <c r="L52" s="2">
        <v>3862139000</v>
      </c>
    </row>
    <row r="53">
      <c r="B53" t="str">
        <v>Total Beban Pokok Penjualan</v>
      </c>
      <c r="C53" s="2">
        <v>-786639000</v>
      </c>
      <c r="D53" s="2">
        <v>-982701000</v>
      </c>
      <c r="E53" s="2">
        <v>-961835000</v>
      </c>
      <c r="F53" s="2">
        <v>-887003000</v>
      </c>
      <c r="H53" s="2">
        <v>-3648568000</v>
      </c>
      <c r="I53" s="2">
        <v>-3853631000</v>
      </c>
      <c r="J53" s="2">
        <v>-4186532000</v>
      </c>
      <c r="K53" s="2">
        <v>-3776856000</v>
      </c>
      <c r="L53" s="2">
        <v>-2369331000</v>
      </c>
    </row>
    <row r="54">
      <c r="B54" t="str">
        <v>Laba Kotor</v>
      </c>
      <c r="C54" s="2">
        <v>257553000</v>
      </c>
      <c r="D54" s="2">
        <v>318434000</v>
      </c>
      <c r="E54" s="2">
        <v>247738000</v>
      </c>
      <c r="F54" s="2">
        <v>348115000</v>
      </c>
      <c r="H54" s="2">
        <v>1261695000</v>
      </c>
      <c r="I54" s="2">
        <v>1465951000</v>
      </c>
      <c r="J54" s="2">
        <v>1728876000</v>
      </c>
      <c r="K54" s="2">
        <v>3949077000</v>
      </c>
      <c r="L54" s="2">
        <v>1492808000</v>
      </c>
    </row>
    <row r="55">
      <c r="B55" t="str">
        <v>Total Beban Usaha</v>
      </c>
      <c r="C55" s="2">
        <v>-45897000</v>
      </c>
      <c r="D55" s="2">
        <v>-86307000</v>
      </c>
      <c r="E55" s="2">
        <v>-46204000</v>
      </c>
      <c r="F55" s="2">
        <v>-27860000</v>
      </c>
      <c r="H55" s="2">
        <v>-219015000</v>
      </c>
      <c r="I55" s="2">
        <v>15266000</v>
      </c>
      <c r="J55" s="2">
        <v>-337517000</v>
      </c>
      <c r="K55" s="2">
        <v>-323172000</v>
      </c>
      <c r="L55" s="2">
        <v>-223076000</v>
      </c>
    </row>
    <row r="56">
      <c r="B56" t="str">
        <v>Beban Usaha</v>
      </c>
      <c r="C56" s="2">
        <v>-52052000</v>
      </c>
      <c r="D56" s="2">
        <v>-75272000</v>
      </c>
      <c r="E56" s="2">
        <v>-57574000</v>
      </c>
      <c r="F56" s="2">
        <v>-56145000</v>
      </c>
      <c r="H56" s="2">
        <v>-247086000</v>
      </c>
      <c r="I56" s="2">
        <v>-315504000</v>
      </c>
      <c r="J56" s="2">
        <v>-311777000</v>
      </c>
      <c r="K56" s="2">
        <v>-290352000</v>
      </c>
      <c r="L56" s="2">
        <v>-170862000</v>
      </c>
    </row>
    <row r="57">
      <c r="B57" t="str">
        <v>Others</v>
      </c>
      <c r="C57" s="2">
        <v>10573000</v>
      </c>
      <c r="D57" s="2">
        <v>15246000</v>
      </c>
      <c r="E57" s="2">
        <v>7343000</v>
      </c>
      <c r="F57" s="2">
        <v>24732000</v>
      </c>
      <c r="H57" s="2">
        <v>71387000</v>
      </c>
      <c r="I57" s="2">
        <v>114525000</v>
      </c>
      <c r="J57" s="2">
        <v>143368000</v>
      </c>
      <c r="K57" s="2">
        <v>284116000</v>
      </c>
      <c r="L57" s="2">
        <v>99468000</v>
      </c>
    </row>
    <row r="58">
      <c r="B58" t="str">
        <v>Laba Usaha</v>
      </c>
      <c r="C58" s="2">
        <v>211656000</v>
      </c>
      <c r="D58" s="2">
        <v>232127000</v>
      </c>
      <c r="E58" s="2">
        <v>201534000</v>
      </c>
      <c r="F58" s="2">
        <v>320255000</v>
      </c>
      <c r="H58" s="2">
        <v>1042680000</v>
      </c>
      <c r="I58" s="2">
        <v>1481217000</v>
      </c>
      <c r="J58" s="2">
        <v>1391359000</v>
      </c>
      <c r="K58" s="2">
        <v>3625905000</v>
      </c>
      <c r="L58" s="2">
        <v>1269732000</v>
      </c>
    </row>
    <row r="59">
      <c r="B59" t="str">
        <v>Penghasilan/Beban Lain-Lain</v>
      </c>
      <c r="C59" s="2">
        <v>-3217000</v>
      </c>
      <c r="D59" s="2">
        <v>10662000</v>
      </c>
      <c r="E59" s="2">
        <v>15431000</v>
      </c>
      <c r="F59" s="2">
        <v>-4962000</v>
      </c>
      <c r="H59" s="2">
        <v>12666000</v>
      </c>
      <c r="I59" s="2">
        <v>58859000</v>
      </c>
      <c r="J59" s="2">
        <v>168616000</v>
      </c>
      <c r="K59" s="2">
        <v>222169000</v>
      </c>
      <c r="L59" s="2">
        <v>-44416000</v>
      </c>
    </row>
    <row r="60">
      <c r="B60" t="str">
        <v>Beban Keuangan</v>
      </c>
      <c r="C60" s="2">
        <v>-6498000</v>
      </c>
      <c r="D60" s="2">
        <v>-13432000</v>
      </c>
      <c r="E60" s="2">
        <v>-12178000</v>
      </c>
      <c r="F60" s="2">
        <v>-14640000</v>
      </c>
      <c r="H60" s="2">
        <v>-58607000</v>
      </c>
      <c r="I60" s="2">
        <v>-77808000</v>
      </c>
      <c r="J60" s="2">
        <v>-74611000</v>
      </c>
      <c r="K60" s="2">
        <v>-68785000</v>
      </c>
      <c r="L60" s="2">
        <v>-71919000</v>
      </c>
    </row>
    <row r="61">
      <c r="B61" t="str">
        <v>Pendapatan Keuangan</v>
      </c>
      <c r="C61" s="2">
        <v>8330000</v>
      </c>
      <c r="D61" s="2">
        <v>11062000</v>
      </c>
      <c r="E61" s="2">
        <v>14094000</v>
      </c>
      <c r="F61" s="2">
        <v>14590000</v>
      </c>
      <c r="H61" s="2">
        <v>54063000</v>
      </c>
      <c r="I61" s="2">
        <v>85553000</v>
      </c>
      <c r="J61" s="2">
        <v>111322000</v>
      </c>
      <c r="K61" s="2">
        <v>55980000</v>
      </c>
      <c r="L61" s="2">
        <v>41596000</v>
      </c>
    </row>
    <row r="62">
      <c r="B62" t="str">
        <v>Bagian Atas Hasil Bersih ...</v>
      </c>
      <c r="C62" s="2">
        <v>-5049000</v>
      </c>
      <c r="D62" s="2">
        <v>13032000</v>
      </c>
      <c r="E62" s="2">
        <v>13515000</v>
      </c>
      <c r="F62" s="2">
        <v>-4912000</v>
      </c>
      <c r="H62" s="2">
        <v>17210000</v>
      </c>
      <c r="I62" s="2">
        <v>51114000</v>
      </c>
      <c r="J62" s="2">
        <v>131905000</v>
      </c>
      <c r="K62" s="2">
        <v>234974000</v>
      </c>
      <c r="L62" s="2">
        <v>-14093000</v>
      </c>
    </row>
    <row r="63">
      <c r="B63" t="str">
        <v>Total Penghasilan/Beban Lain-...</v>
      </c>
      <c r="C63" s="2">
        <v>-3217000</v>
      </c>
      <c r="D63" s="2">
        <v>10662000</v>
      </c>
      <c r="E63" s="2">
        <v>15431000</v>
      </c>
      <c r="F63" s="2">
        <v>-4962000</v>
      </c>
      <c r="H63" s="2">
        <v>12666000</v>
      </c>
      <c r="I63" s="2">
        <v>58859000</v>
      </c>
      <c r="J63" s="2">
        <v>168616000</v>
      </c>
      <c r="K63" s="2">
        <v>222169000</v>
      </c>
      <c r="L63" s="2">
        <v>-44416000</v>
      </c>
    </row>
    <row r="64">
      <c r="B64" t="str">
        <v>Laba Sebelum Pajak</v>
      </c>
      <c r="C64" s="2">
        <v>208439000</v>
      </c>
      <c r="D64" s="2">
        <v>242789000</v>
      </c>
      <c r="E64" s="2">
        <v>216965000</v>
      </c>
      <c r="F64" s="2">
        <v>315293000</v>
      </c>
      <c r="H64" s="2">
        <v>1055346000</v>
      </c>
      <c r="I64" s="2">
        <v>1540076000</v>
      </c>
      <c r="J64" s="2">
        <v>1559975000</v>
      </c>
      <c r="K64" s="2">
        <v>3848074000</v>
      </c>
      <c r="L64" s="2">
        <v>1225316000</v>
      </c>
    </row>
    <row r="65">
      <c r="B65" t="str">
        <v>Beban Pajak Penghasilan</v>
      </c>
      <c r="C65" s="2">
        <v>-54671000</v>
      </c>
      <c r="D65" s="2">
        <v>-48474000</v>
      </c>
      <c r="E65" s="2">
        <v>-43376000</v>
      </c>
      <c r="F65" s="2">
        <v>-56901000</v>
      </c>
      <c r="H65" s="2">
        <v>-206162000</v>
      </c>
      <c r="I65" s="2">
        <v>-213340000</v>
      </c>
      <c r="J65" s="2">
        <v>-274084000</v>
      </c>
      <c r="K65" s="2">
        <v>-1498502000</v>
      </c>
      <c r="L65" s="2">
        <v>-396039000</v>
      </c>
    </row>
    <row r="66">
      <c r="B66" t="str">
        <v>Laba Bersih Tahun Berjalan</v>
      </c>
      <c r="C66" s="2">
        <v>153768000</v>
      </c>
      <c r="D66" s="2">
        <v>194315000</v>
      </c>
      <c r="E66" s="2">
        <v>173589000</v>
      </c>
      <c r="F66" s="2">
        <v>258392000</v>
      </c>
      <c r="H66" s="2">
        <v>849184000</v>
      </c>
      <c r="I66" s="2">
        <v>1326736000</v>
      </c>
      <c r="J66" s="2">
        <v>1285891000</v>
      </c>
      <c r="K66" s="2">
        <v>2349572000</v>
      </c>
      <c r="L66" s="2">
        <v>829277000</v>
      </c>
    </row>
    <row r="67">
      <c r="B67" t="str">
        <v>Pendapatan Komprehensif Lain</v>
      </c>
      <c r="C67" s="2">
        <v>-2275000</v>
      </c>
      <c r="D67" s="2">
        <v>-63037000</v>
      </c>
      <c r="E67" s="2">
        <v>-77779000</v>
      </c>
      <c r="F67" s="2">
        <v>-18685000</v>
      </c>
      <c r="H67" s="2">
        <v>-196035000</v>
      </c>
      <c r="I67" s="2">
        <v>-20511000</v>
      </c>
      <c r="J67" s="2">
        <v>14441000</v>
      </c>
      <c r="K67" s="2">
        <v>25534000</v>
      </c>
      <c r="L67" s="2">
        <v>68860000</v>
      </c>
    </row>
    <row r="68">
      <c r="B68" t="str">
        <v>Jumlah Laba Komprehensif</v>
      </c>
      <c r="C68" s="2">
        <v>151493000</v>
      </c>
      <c r="D68" s="2">
        <v>131278000</v>
      </c>
      <c r="E68" s="2">
        <v>95810000</v>
      </c>
      <c r="F68" s="2">
        <v>239707000</v>
      </c>
      <c r="H68" s="2">
        <v>653149000</v>
      </c>
      <c r="I68" s="2">
        <v>1306225000</v>
      </c>
      <c r="J68" s="2">
        <v>1300332000</v>
      </c>
      <c r="K68" s="2">
        <v>2375106000</v>
      </c>
      <c r="L68" s="2">
        <v>898137000</v>
      </c>
    </row>
    <row r="69">
      <c r="B69" t="str">
        <v>Laba Bersih Yang Dapat Diatribu...</v>
      </c>
      <c r="C69" s="2">
        <v>153768000</v>
      </c>
      <c r="D69" s="2">
        <v>194315000</v>
      </c>
      <c r="E69" s="2">
        <v>173589000</v>
      </c>
      <c r="F69" s="2">
        <v>258392000</v>
      </c>
      <c r="H69" s="2">
        <v>849184000</v>
      </c>
      <c r="I69" s="2">
        <v>1326736000</v>
      </c>
      <c r="J69" s="2">
        <v>1285891000</v>
      </c>
      <c r="K69" s="2">
        <v>2349572000</v>
      </c>
      <c r="L69" s="2">
        <v>829277000</v>
      </c>
    </row>
    <row r="70">
      <c r="B70" t="str">
        <v>Pemilik Entitas Induk</v>
      </c>
      <c r="C70" s="2">
        <v>140920000</v>
      </c>
      <c r="D70" s="2">
        <v>116032000</v>
      </c>
      <c r="E70" s="2">
        <v>88467000</v>
      </c>
      <c r="F70" s="2">
        <v>214975000</v>
      </c>
      <c r="H70" s="2">
        <v>581762000</v>
      </c>
      <c r="I70" s="2">
        <v>1191700000</v>
      </c>
      <c r="J70" s="2">
        <v>1156964000</v>
      </c>
      <c r="K70" s="2">
        <v>2090990000</v>
      </c>
      <c r="L70" s="2">
        <v>798669000</v>
      </c>
    </row>
    <row r="71">
      <c r="B71" t="str">
        <v>Total Laba Bersih Yang Dapat ...</v>
      </c>
      <c r="C71" s="2">
        <v>153768000</v>
      </c>
      <c r="D71" s="2">
        <v>194315000</v>
      </c>
      <c r="E71" s="2">
        <v>173589000</v>
      </c>
      <c r="F71" s="2">
        <v>258392000</v>
      </c>
      <c r="H71" s="2">
        <v>849184000</v>
      </c>
      <c r="I71" s="2">
        <v>1326736000</v>
      </c>
      <c r="J71" s="2">
        <v>1285891000</v>
      </c>
      <c r="K71" s="2">
        <v>2349572000</v>
      </c>
      <c r="L71" s="2">
        <v>829277000</v>
      </c>
    </row>
    <row r="72">
      <c r="B72" t="str">
        <v>Laba Komprehensif Yang Dapat Di...</v>
      </c>
      <c r="C72" s="2">
        <v>151493000</v>
      </c>
      <c r="D72" s="2">
        <v>131278000</v>
      </c>
      <c r="E72" s="2">
        <v>95810000</v>
      </c>
      <c r="F72" s="2">
        <v>239707000</v>
      </c>
      <c r="H72" s="2">
        <v>653149000</v>
      </c>
      <c r="I72" s="2">
        <v>1306225000</v>
      </c>
      <c r="J72" s="2">
        <v>1300332000</v>
      </c>
      <c r="K72" s="2">
        <v>2375106000</v>
      </c>
      <c r="L72" s="2">
        <v>898137000</v>
      </c>
    </row>
    <row r="73">
      <c r="B73" t="str">
        <v>Total Laba Komprehensif Yang ...</v>
      </c>
      <c r="C73" s="2">
        <v>151493000</v>
      </c>
      <c r="D73" s="2">
        <v>131278000</v>
      </c>
      <c r="E73" s="2">
        <v>95810000</v>
      </c>
      <c r="F73" s="2">
        <v>239707000</v>
      </c>
      <c r="H73" s="2">
        <v>653149000</v>
      </c>
      <c r="I73" s="2">
        <v>1306225000</v>
      </c>
      <c r="J73" s="2">
        <v>1300332000</v>
      </c>
      <c r="K73" s="2">
        <v>2375106000</v>
      </c>
      <c r="L73" s="2">
        <v>898137000</v>
      </c>
    </row>
    <row r="75">
      <c r="A75" t="str">
        <v>Balance Sheet</v>
      </c>
      <c r="B75" t="str">
        <v>Aset</v>
      </c>
    </row>
    <row r="76">
      <c r="B76" t="str">
        <v>Aset Lancar</v>
      </c>
    </row>
    <row r="77">
      <c r="B77" t="str">
        <v>Kas Dan Setara Kas</v>
      </c>
      <c r="C77" s="2">
        <v>914431000</v>
      </c>
      <c r="D77" s="2">
        <v>925445000</v>
      </c>
      <c r="E77" s="2">
        <v>1417030000</v>
      </c>
      <c r="F77" s="2">
        <v>1433944000</v>
      </c>
      <c r="H77" s="2">
        <v>925445000</v>
      </c>
      <c r="I77" s="2">
        <v>1518688000</v>
      </c>
      <c r="J77" s="2">
        <v>2534480000</v>
      </c>
      <c r="K77" s="2">
        <v>3380339000</v>
      </c>
      <c r="L77" s="2">
        <v>1503070000</v>
      </c>
    </row>
    <row r="78">
      <c r="B78" t="str">
        <v>Deposito Berjangka</v>
      </c>
      <c r="C78" s="2">
        <v>5105000</v>
      </c>
      <c r="D78" s="2">
        <v>5121000</v>
      </c>
      <c r="H78" s="2">
        <v>5121000</v>
      </c>
    </row>
    <row r="79">
      <c r="B79" t="str">
        <v>Piutang Usaha</v>
      </c>
      <c r="C79" s="2">
        <v>480455000</v>
      </c>
      <c r="D79" s="2">
        <v>502067000</v>
      </c>
      <c r="E79" s="2">
        <v>510340000</v>
      </c>
      <c r="F79" s="2">
        <v>474165000</v>
      </c>
      <c r="H79" s="2">
        <v>502067000</v>
      </c>
      <c r="I79" s="2">
        <v>401508000</v>
      </c>
      <c r="J79" s="2">
        <v>416274000</v>
      </c>
      <c r="K79" s="2">
        <v>609013000</v>
      </c>
      <c r="L79" s="2">
        <v>413991000</v>
      </c>
    </row>
    <row r="80">
      <c r="B80" t="str">
        <v>Pihak Berelasi</v>
      </c>
      <c r="C80" s="2">
        <v>236829000</v>
      </c>
      <c r="D80" s="2">
        <v>320815000</v>
      </c>
      <c r="E80" s="2">
        <v>344748000</v>
      </c>
      <c r="F80" s="2">
        <v>305337000</v>
      </c>
      <c r="H80" s="2">
        <v>320815000</v>
      </c>
      <c r="I80" s="2">
        <v>295542000</v>
      </c>
      <c r="J80" s="2">
        <v>201074000</v>
      </c>
      <c r="K80" s="2">
        <v>139371000</v>
      </c>
      <c r="L80" s="2">
        <v>127854000</v>
      </c>
    </row>
    <row r="81">
      <c r="B81" t="str">
        <v>Pihak Ketiga</v>
      </c>
      <c r="C81" s="2">
        <v>191139000</v>
      </c>
      <c r="D81" s="2">
        <v>202606000</v>
      </c>
      <c r="E81" s="2">
        <v>272255000</v>
      </c>
      <c r="F81" s="2">
        <v>242618000</v>
      </c>
      <c r="H81" s="2">
        <v>202606000</v>
      </c>
      <c r="I81" s="2">
        <v>172642000</v>
      </c>
      <c r="J81" s="2">
        <v>184567000</v>
      </c>
      <c r="K81" s="2">
        <v>138399000</v>
      </c>
      <c r="L81" s="2">
        <v>135971000</v>
      </c>
    </row>
    <row r="82">
      <c r="B82" t="str">
        <v>Total Piutang Usaha</v>
      </c>
      <c r="C82" s="2">
        <v>480455000</v>
      </c>
      <c r="D82" s="2">
        <v>502067000</v>
      </c>
      <c r="E82" s="2">
        <v>510340000</v>
      </c>
      <c r="F82" s="2">
        <v>474165000</v>
      </c>
      <c r="H82" s="2">
        <v>502067000</v>
      </c>
      <c r="I82" s="2">
        <v>401508000</v>
      </c>
      <c r="J82" s="2">
        <v>416274000</v>
      </c>
      <c r="K82" s="2">
        <v>609013000</v>
      </c>
      <c r="L82" s="2">
        <v>413991000</v>
      </c>
    </row>
    <row r="83">
      <c r="B83" t="str">
        <v>Persediaan</v>
      </c>
      <c r="C83" s="2">
        <v>138659000</v>
      </c>
      <c r="D83" s="2">
        <v>85458000</v>
      </c>
      <c r="E83" s="2">
        <v>109255000</v>
      </c>
      <c r="F83" s="2">
        <v>111459000</v>
      </c>
      <c r="H83" s="2">
        <v>85458000</v>
      </c>
      <c r="I83" s="2">
        <v>68549000</v>
      </c>
      <c r="J83" s="2">
        <v>65090000</v>
      </c>
      <c r="K83" s="2">
        <v>120096000</v>
      </c>
      <c r="L83" s="2">
        <v>72560000</v>
      </c>
    </row>
    <row r="84">
      <c r="B84" t="str">
        <v>Piutang Lain-Lain</v>
      </c>
      <c r="C84" s="2">
        <v>24900000</v>
      </c>
      <c r="D84" s="2">
        <v>24900000</v>
      </c>
      <c r="E84" s="2">
        <v>40500000</v>
      </c>
      <c r="F84" s="2">
        <v>40500000</v>
      </c>
      <c r="H84" s="2">
        <v>24900000</v>
      </c>
      <c r="I84" s="2">
        <v>40500000</v>
      </c>
      <c r="J84" s="2">
        <v>53700000</v>
      </c>
      <c r="K84" s="2">
        <v>66600000</v>
      </c>
      <c r="L84" s="2">
        <v>4799000</v>
      </c>
    </row>
    <row r="85">
      <c r="B85" t="str">
        <v>Total Piutang Lain-Lai...</v>
      </c>
      <c r="C85" s="2">
        <v>24900000</v>
      </c>
      <c r="D85" s="2">
        <v>24900000</v>
      </c>
      <c r="E85" s="2">
        <v>40500000</v>
      </c>
      <c r="F85" s="2">
        <v>40500000</v>
      </c>
      <c r="H85" s="2">
        <v>24900000</v>
      </c>
      <c r="I85" s="2">
        <v>40500000</v>
      </c>
      <c r="J85" s="2">
        <v>53700000</v>
      </c>
      <c r="K85" s="2">
        <v>66600000</v>
      </c>
      <c r="L85" s="2">
        <v>4799000</v>
      </c>
    </row>
    <row r="86">
      <c r="B86" t="str">
        <v>Others</v>
      </c>
      <c r="C86" s="2">
        <v>94797000</v>
      </c>
      <c r="D86" s="2">
        <v>96915000</v>
      </c>
      <c r="E86" s="2">
        <v>14382000</v>
      </c>
      <c r="F86" s="2">
        <v>84556000</v>
      </c>
      <c r="H86" s="2">
        <v>96915000</v>
      </c>
      <c r="I86" s="2">
        <v>135979000</v>
      </c>
      <c r="J86" s="2">
        <v>369340000</v>
      </c>
      <c r="K86" s="2">
        <v>344043000</v>
      </c>
      <c r="L86" s="2">
        <v>-23560000</v>
      </c>
    </row>
    <row r="87">
      <c r="B87" t="str">
        <v>Total Aset Lancar</v>
      </c>
      <c r="C87" s="2">
        <v>1808595000</v>
      </c>
      <c r="D87" s="2">
        <v>1796272000</v>
      </c>
      <c r="E87" s="2">
        <v>2225880000</v>
      </c>
      <c r="F87" s="2">
        <v>2196629000</v>
      </c>
      <c r="H87" s="2">
        <v>1796272000</v>
      </c>
      <c r="I87" s="2">
        <v>2214052000</v>
      </c>
      <c r="J87" s="2">
        <v>3270164000</v>
      </c>
      <c r="K87" s="2">
        <v>4326775000</v>
      </c>
      <c r="L87" s="2">
        <v>2429181000</v>
      </c>
    </row>
    <row r="88">
      <c r="B88" t="str">
        <v>Aset Tidak Lancar</v>
      </c>
    </row>
    <row r="89">
      <c r="B89" t="str">
        <v>Properti Pertambangan</v>
      </c>
      <c r="C89" s="2">
        <v>379976000</v>
      </c>
      <c r="D89" s="2">
        <v>381486000</v>
      </c>
      <c r="E89" s="2">
        <v>393163000</v>
      </c>
      <c r="F89" s="2">
        <v>401635000</v>
      </c>
      <c r="H89" s="2">
        <v>381486000</v>
      </c>
      <c r="I89" s="2">
        <v>416209000</v>
      </c>
      <c r="J89" s="2">
        <v>438216000</v>
      </c>
      <c r="K89" s="2">
        <v>467828000</v>
      </c>
      <c r="L89" s="2">
        <v>643672000</v>
      </c>
    </row>
    <row r="90">
      <c r="B90" t="str">
        <v>Aset Tetap</v>
      </c>
      <c r="C90" s="2">
        <v>1371929000</v>
      </c>
      <c r="D90" s="2">
        <v>1303529000</v>
      </c>
      <c r="E90" s="2">
        <v>1218856000</v>
      </c>
      <c r="F90" s="2">
        <v>1149543000</v>
      </c>
      <c r="H90" s="2">
        <v>1303529000</v>
      </c>
      <c r="I90" s="2">
        <v>974740000</v>
      </c>
      <c r="J90" s="2">
        <v>532512000</v>
      </c>
      <c r="K90" s="2">
        <v>417669000</v>
      </c>
      <c r="L90" s="2">
        <v>474806000</v>
      </c>
    </row>
    <row r="91">
      <c r="B91" t="str">
        <v>Goodwill</v>
      </c>
      <c r="C91" s="2">
        <v>737278000</v>
      </c>
      <c r="D91" s="2">
        <v>737278000</v>
      </c>
      <c r="E91" s="2">
        <v>737278000</v>
      </c>
      <c r="F91" s="2">
        <v>737278000</v>
      </c>
      <c r="H91" s="2">
        <v>737278000</v>
      </c>
      <c r="I91" s="2">
        <v>737278000</v>
      </c>
      <c r="J91" s="2">
        <v>737278000</v>
      </c>
      <c r="K91" s="2">
        <v>737278000</v>
      </c>
      <c r="L91" s="2">
        <v>737278000</v>
      </c>
    </row>
    <row r="92">
      <c r="B92" t="str">
        <v>Aset Tak Berwujud</v>
      </c>
      <c r="C92" s="2">
        <v>1811000</v>
      </c>
      <c r="D92" s="2">
        <v>1882000</v>
      </c>
      <c r="E92" s="2">
        <v>1661000</v>
      </c>
      <c r="F92" s="2">
        <v>1828000</v>
      </c>
      <c r="H92" s="2">
        <v>1882000</v>
      </c>
      <c r="I92" s="2">
        <v>2335000</v>
      </c>
      <c r="J92" s="2">
        <v>2296000</v>
      </c>
      <c r="K92" s="2">
        <v>2100000</v>
      </c>
      <c r="L92" s="2">
        <v>432000</v>
      </c>
    </row>
    <row r="93">
      <c r="B93" t="str">
        <v>Aset Pajak Tangguhan</v>
      </c>
      <c r="C93" s="2">
        <v>29942000</v>
      </c>
      <c r="D93" s="2">
        <v>30929000</v>
      </c>
      <c r="E93" s="2">
        <v>30106000</v>
      </c>
      <c r="F93" s="2">
        <v>33187000</v>
      </c>
      <c r="H93" s="2">
        <v>30929000</v>
      </c>
      <c r="I93" s="2">
        <v>42223000</v>
      </c>
      <c r="J93" s="2">
        <v>49095000</v>
      </c>
      <c r="K93" s="2">
        <v>54443000</v>
      </c>
      <c r="L93" s="2">
        <v>66057000</v>
      </c>
    </row>
    <row r="94">
      <c r="B94" t="str">
        <v>Total Aset Tidak Lancar</v>
      </c>
      <c r="C94" s="2">
        <v>3971945000</v>
      </c>
      <c r="D94" s="2">
        <v>3910004000</v>
      </c>
      <c r="E94" s="2">
        <v>3886044000</v>
      </c>
      <c r="F94" s="2">
        <v>3891440000</v>
      </c>
      <c r="H94" s="2">
        <v>3910004000</v>
      </c>
      <c r="I94" s="2">
        <v>3778606000</v>
      </c>
      <c r="J94" s="2">
        <v>3792752000</v>
      </c>
      <c r="K94" s="2">
        <v>3639311000</v>
      </c>
      <c r="L94" s="2">
        <v>3761629000</v>
      </c>
    </row>
    <row r="95">
      <c r="B95" t="str">
        <v>Total Aset</v>
      </c>
      <c r="C95" s="2">
        <v>5780540000</v>
      </c>
      <c r="D95" s="2">
        <v>5706276000</v>
      </c>
      <c r="E95" s="2">
        <v>6111924000</v>
      </c>
      <c r="F95" s="2">
        <v>6088069000</v>
      </c>
      <c r="H95" s="2">
        <v>5706276000</v>
      </c>
      <c r="I95" s="2">
        <v>5992658000</v>
      </c>
      <c r="J95" s="2">
        <v>7062916000</v>
      </c>
      <c r="K95" s="2">
        <v>7966086000</v>
      </c>
      <c r="L95" s="2">
        <v>6190810000</v>
      </c>
    </row>
    <row r="96">
      <c r="B96" t="str">
        <v>Liabilitas Dan Ekuitas</v>
      </c>
    </row>
    <row r="97">
      <c r="B97" t="str">
        <v>Liabilitas</v>
      </c>
    </row>
    <row r="98">
      <c r="B98" t="str">
        <v>Liabilitas Jangka Pendek</v>
      </c>
      <c r="C98" s="2">
        <v>863180000</v>
      </c>
      <c r="D98" s="2">
        <v>922656000</v>
      </c>
      <c r="E98" s="2">
        <v>960219000</v>
      </c>
      <c r="F98" s="2">
        <v>981508000</v>
      </c>
      <c r="H98" s="2">
        <v>922656000</v>
      </c>
      <c r="I98" s="2">
        <v>872699000</v>
      </c>
      <c r="J98" s="2">
        <v>1798306000</v>
      </c>
      <c r="K98" s="2">
        <v>2117564000</v>
      </c>
      <c r="L98" s="2">
        <v>1095851000</v>
      </c>
    </row>
    <row r="99">
      <c r="B99" t="str">
        <v>Utang Usaha</v>
      </c>
    </row>
    <row r="100">
      <c r="B100" t="str">
        <v>Total Utang Usaha</v>
      </c>
      <c r="C100" s="2">
        <v>427968000</v>
      </c>
      <c r="D100" s="2">
        <v>523421000</v>
      </c>
      <c r="E100" s="2">
        <v>617003000</v>
      </c>
      <c r="F100" s="2">
        <v>547955000</v>
      </c>
      <c r="H100" s="2">
        <v>523421000</v>
      </c>
      <c r="I100" s="2">
        <v>468184000</v>
      </c>
      <c r="J100" s="2">
        <v>385641000</v>
      </c>
      <c r="K100" s="2">
        <v>277770000</v>
      </c>
      <c r="L100" s="2">
        <v>263825000</v>
      </c>
    </row>
    <row r="101">
      <c r="B101" t="str">
        <v>Beban Akrual</v>
      </c>
      <c r="C101" s="2">
        <v>290711000</v>
      </c>
      <c r="D101" s="2">
        <v>272247000</v>
      </c>
      <c r="E101" s="2">
        <v>246582000</v>
      </c>
      <c r="F101" s="2">
        <v>309421000</v>
      </c>
      <c r="H101" s="2">
        <v>272247000</v>
      </c>
      <c r="I101" s="2">
        <v>267135000</v>
      </c>
      <c r="J101" s="2">
        <v>189027000</v>
      </c>
      <c r="K101" s="2">
        <v>101399000</v>
      </c>
      <c r="L101" s="2">
        <v>47088000</v>
      </c>
    </row>
    <row r="102">
      <c r="B102" t="str">
        <v>Utang Pajak</v>
      </c>
    </row>
    <row r="103">
      <c r="B103" t="str">
        <v>Total Utang Pajak</v>
      </c>
      <c r="C103" s="2">
        <v>52825000</v>
      </c>
      <c r="D103" s="2">
        <v>38628000</v>
      </c>
      <c r="E103" s="2">
        <v>43591000</v>
      </c>
      <c r="F103" s="2">
        <v>57958000</v>
      </c>
      <c r="H103" s="2">
        <v>38628000</v>
      </c>
      <c r="I103" s="2">
        <v>25351000</v>
      </c>
      <c r="J103" s="2">
        <v>54743000</v>
      </c>
      <c r="K103" s="2">
        <v>1091449000</v>
      </c>
      <c r="L103" s="2">
        <v>305005000</v>
      </c>
    </row>
    <row r="104">
      <c r="B104" t="str">
        <v>Utang Royalti</v>
      </c>
      <c r="C104" s="2">
        <v>6899000</v>
      </c>
      <c r="D104" s="2">
        <v>9944000</v>
      </c>
      <c r="E104" s="2">
        <v>14833000</v>
      </c>
      <c r="F104" s="2">
        <v>13518000</v>
      </c>
      <c r="H104" s="2">
        <v>9944000</v>
      </c>
      <c r="I104" s="2">
        <v>21085000</v>
      </c>
      <c r="J104" s="2">
        <v>3273000</v>
      </c>
      <c r="K104" s="2">
        <v>23519000</v>
      </c>
      <c r="L104" s="2">
        <v>3352000</v>
      </c>
    </row>
    <row r="105">
      <c r="B105" t="str">
        <v>Bagian Lancar Atas Li...</v>
      </c>
    </row>
    <row r="106">
      <c r="B106" t="str">
        <v>Utang Bank</v>
      </c>
      <c r="C106" s="2">
        <v>453435000</v>
      </c>
      <c r="D106" s="2">
        <v>342221000</v>
      </c>
      <c r="E106" s="2">
        <v>587578000</v>
      </c>
      <c r="F106" s="2">
        <v>495427000</v>
      </c>
      <c r="H106" s="2">
        <v>342221000</v>
      </c>
      <c r="I106" s="2">
        <v>645705000</v>
      </c>
      <c r="J106" s="2">
        <v>122050000</v>
      </c>
      <c r="K106" s="2">
        <v>306571000</v>
      </c>
      <c r="L106" s="2">
        <v>362990000</v>
      </c>
    </row>
    <row r="107">
      <c r="B107" t="str">
        <v>Utang Sewa Pembia...</v>
      </c>
      <c r="C107" s="2">
        <v>15849000</v>
      </c>
      <c r="D107" s="2">
        <v>17455000</v>
      </c>
      <c r="E107" s="2">
        <v>18408000</v>
      </c>
      <c r="F107" s="2">
        <v>10619000</v>
      </c>
      <c r="H107" s="2">
        <v>17455000</v>
      </c>
      <c r="I107" s="2">
        <v>2352000</v>
      </c>
      <c r="J107" s="2">
        <v>3592000</v>
      </c>
      <c r="K107" s="2">
        <v>7679000</v>
      </c>
      <c r="L107" s="2">
        <v>7971000</v>
      </c>
    </row>
    <row r="108">
      <c r="B108" t="str">
        <v>Total Bagian Lancar...</v>
      </c>
      <c r="C108" s="2">
        <v>50583000</v>
      </c>
      <c r="D108" s="2">
        <v>44256000</v>
      </c>
      <c r="E108" s="2">
        <v>17766000</v>
      </c>
      <c r="F108" s="2">
        <v>26564000</v>
      </c>
      <c r="H108" s="2">
        <v>44256000</v>
      </c>
      <c r="I108" s="2">
        <v>43540000</v>
      </c>
      <c r="J108" s="2">
        <v>65160000</v>
      </c>
      <c r="K108" s="2">
        <v>110309000</v>
      </c>
      <c r="L108" s="2">
        <v>103596000</v>
      </c>
    </row>
    <row r="109">
      <c r="B109" t="str">
        <v>Senior Notes</v>
      </c>
      <c r="K109" s="2">
        <v>700890000</v>
      </c>
      <c r="L109" s="2">
        <v>740118000</v>
      </c>
    </row>
    <row r="110">
      <c r="B110" t="str">
        <v>Utang Lain-Lain</v>
      </c>
      <c r="C110" s="2">
        <v>21309000</v>
      </c>
      <c r="D110" s="2">
        <v>20305000</v>
      </c>
      <c r="E110" s="2">
        <v>19537000</v>
      </c>
      <c r="F110" s="2">
        <v>19040000</v>
      </c>
      <c r="H110" s="2">
        <v>20305000</v>
      </c>
      <c r="I110" s="2">
        <v>17556000</v>
      </c>
      <c r="J110" s="2">
        <v>5227000</v>
      </c>
      <c r="K110" s="2">
        <v>7291000</v>
      </c>
      <c r="L110" s="2">
        <v>9495000</v>
      </c>
    </row>
    <row r="111">
      <c r="B111" t="str">
        <v>Total Liabilitas Jangk...</v>
      </c>
      <c r="C111" s="2">
        <v>1136130000</v>
      </c>
      <c r="D111" s="2">
        <v>1133992000</v>
      </c>
      <c r="E111" s="2">
        <v>1358983000</v>
      </c>
      <c r="F111" s="2">
        <v>1380423000</v>
      </c>
      <c r="H111" s="2">
        <v>1133992000</v>
      </c>
      <c r="I111" s="2">
        <v>1756477000</v>
      </c>
      <c r="J111" s="2">
        <v>474146000</v>
      </c>
      <c r="K111" s="2">
        <v>1340306000</v>
      </c>
      <c r="L111" s="2">
        <v>1472909000</v>
      </c>
    </row>
    <row r="112">
      <c r="B112" t="str">
        <v>Liabilitas Jangka Panjan...</v>
      </c>
      <c r="C112" s="2">
        <v>1136130000</v>
      </c>
      <c r="D112" s="2">
        <v>1133992000</v>
      </c>
      <c r="E112" s="2">
        <v>1358983000</v>
      </c>
      <c r="F112" s="2">
        <v>1380423000</v>
      </c>
      <c r="H112" s="2">
        <v>1133992000</v>
      </c>
      <c r="I112" s="2">
        <v>1756477000</v>
      </c>
      <c r="J112" s="2">
        <v>474146000</v>
      </c>
      <c r="K112" s="2">
        <v>1340306000</v>
      </c>
      <c r="L112" s="2">
        <v>1472909000</v>
      </c>
    </row>
    <row r="113">
      <c r="B113" t="str">
        <v>Utang Dari Pihak Keti...</v>
      </c>
      <c r="C113" s="2">
        <v>17699000</v>
      </c>
      <c r="D113" s="2">
        <v>17828000</v>
      </c>
      <c r="E113" s="2">
        <v>17893000</v>
      </c>
      <c r="F113" s="2">
        <v>18191000</v>
      </c>
      <c r="H113" s="2">
        <v>17828000</v>
      </c>
      <c r="I113" s="2">
        <v>18248000</v>
      </c>
      <c r="J113" s="2">
        <v>3013000</v>
      </c>
      <c r="K113" s="2">
        <v>3256000</v>
      </c>
      <c r="L113" s="2">
        <v>3614000</v>
      </c>
    </row>
    <row r="114">
      <c r="B114" t="str">
        <v>Liabilitas Jangka Pan...</v>
      </c>
    </row>
    <row r="115">
      <c r="B115" t="str">
        <v>Total Liabilitas Ja...</v>
      </c>
      <c r="C115" s="2">
        <v>469284000</v>
      </c>
      <c r="D115" s="2">
        <v>359676000</v>
      </c>
      <c r="E115" s="2">
        <v>605986000</v>
      </c>
      <c r="F115" s="2">
        <v>506046000</v>
      </c>
      <c r="H115" s="2">
        <v>359676000</v>
      </c>
      <c r="I115" s="2">
        <v>648057000</v>
      </c>
      <c r="J115" s="2">
        <v>125642000</v>
      </c>
      <c r="K115" s="2">
        <v>314250000</v>
      </c>
      <c r="L115" s="2">
        <v>370961000</v>
      </c>
    </row>
    <row r="116">
      <c r="B116" t="str">
        <v>Liabilitas Pajak Tang...</v>
      </c>
      <c r="C116" s="2">
        <v>52223000</v>
      </c>
      <c r="D116" s="2">
        <v>52483000</v>
      </c>
      <c r="E116" s="2">
        <v>55494000</v>
      </c>
      <c r="F116" s="2">
        <v>57347000</v>
      </c>
      <c r="H116" s="2">
        <v>52483000</v>
      </c>
      <c r="I116" s="2">
        <v>60440000</v>
      </c>
      <c r="J116" s="2">
        <v>66305000</v>
      </c>
      <c r="K116" s="2">
        <v>73749000</v>
      </c>
      <c r="L116" s="2">
        <v>99567000</v>
      </c>
    </row>
    <row r="117">
      <c r="B117" t="str">
        <v>Utang Jangka Panjang ...</v>
      </c>
      <c r="C117" s="2">
        <v>302864000</v>
      </c>
      <c r="D117" s="2">
        <v>404380000</v>
      </c>
      <c r="E117" s="2">
        <v>404468000</v>
      </c>
      <c r="F117" s="2">
        <v>535170000</v>
      </c>
      <c r="H117" s="2">
        <v>404380000</v>
      </c>
      <c r="I117" s="2">
        <v>776335000</v>
      </c>
      <c r="J117" s="2">
        <v>68173000</v>
      </c>
      <c r="K117" s="2">
        <v>71504000</v>
      </c>
      <c r="L117" s="2">
        <v>79504000</v>
      </c>
    </row>
    <row r="118">
      <c r="B118" t="str">
        <v>Total Liabilitas</v>
      </c>
      <c r="C118" s="2">
        <v>1999310000</v>
      </c>
      <c r="D118" s="2">
        <v>2056648000</v>
      </c>
      <c r="E118" s="2">
        <v>2319202000</v>
      </c>
      <c r="F118" s="2">
        <v>2361931000</v>
      </c>
      <c r="H118" s="2">
        <v>2056648000</v>
      </c>
      <c r="I118" s="2">
        <v>2629176000</v>
      </c>
      <c r="J118" s="2">
        <v>2272452000</v>
      </c>
      <c r="K118" s="2">
        <v>3457870000</v>
      </c>
      <c r="L118" s="2">
        <v>2568760000</v>
      </c>
    </row>
    <row r="119">
      <c r="B119" t="str">
        <v>Ekuitas</v>
      </c>
    </row>
    <row r="120">
      <c r="B120" t="str">
        <v>Modal Saham</v>
      </c>
      <c r="C120" s="2">
        <v>2519582000</v>
      </c>
      <c r="D120" s="2">
        <v>2519582000</v>
      </c>
      <c r="E120" s="2">
        <v>2519582000</v>
      </c>
      <c r="F120" s="2">
        <v>2519582000</v>
      </c>
      <c r="H120" s="2">
        <v>2519582000</v>
      </c>
      <c r="I120" s="2">
        <v>2519582000</v>
      </c>
      <c r="J120" s="2">
        <v>2366335000</v>
      </c>
      <c r="K120" s="2">
        <v>2366335000</v>
      </c>
      <c r="L120" s="2">
        <v>2366335000</v>
      </c>
    </row>
    <row r="121">
      <c r="B121" t="str">
        <v>Tambahan Modal Disetor</v>
      </c>
      <c r="C121" s="2">
        <v>-96511000</v>
      </c>
      <c r="D121" s="2">
        <v>-96511000</v>
      </c>
      <c r="E121" s="2">
        <v>-96511000</v>
      </c>
      <c r="F121" s="2">
        <v>-96511000</v>
      </c>
      <c r="H121" s="2">
        <v>-96511000</v>
      </c>
      <c r="I121" s="2">
        <v>-96511000</v>
      </c>
      <c r="J121" s="2">
        <v>-212235000</v>
      </c>
      <c r="K121" s="2">
        <v>-212235000</v>
      </c>
      <c r="L121" s="2">
        <v>-212235000</v>
      </c>
    </row>
    <row r="122">
      <c r="B122" t="str">
        <v>Saldo Laba</v>
      </c>
      <c r="C122" s="2">
        <v>956602000</v>
      </c>
      <c r="D122" s="2">
        <v>813564000</v>
      </c>
      <c r="E122" s="2">
        <v>1027165000</v>
      </c>
      <c r="F122" s="2">
        <v>868524000</v>
      </c>
      <c r="H122" s="2">
        <v>813564000</v>
      </c>
      <c r="I122" s="2">
        <v>439841000</v>
      </c>
      <c r="J122" s="2">
        <v>1842560000</v>
      </c>
      <c r="K122" s="2">
        <v>1617570000</v>
      </c>
      <c r="L122" s="2">
        <v>1194177000</v>
      </c>
    </row>
    <row r="123">
      <c r="B123" t="str">
        <v>Telah Ditentukan Peng...</v>
      </c>
      <c r="C123" s="2">
        <v>55000000</v>
      </c>
      <c r="D123" s="2">
        <v>55000000</v>
      </c>
      <c r="E123" s="2">
        <v>55000000</v>
      </c>
      <c r="F123" s="2">
        <v>55000000</v>
      </c>
      <c r="H123" s="2">
        <v>55000000</v>
      </c>
      <c r="I123" s="2">
        <v>45000000</v>
      </c>
    </row>
    <row r="124">
      <c r="B124" t="str">
        <v>Belum Ditentukan Peng...</v>
      </c>
      <c r="C124" s="2">
        <v>901602000</v>
      </c>
      <c r="D124" s="2">
        <v>758564000</v>
      </c>
      <c r="E124" s="2">
        <v>972165000</v>
      </c>
      <c r="F124" s="2">
        <v>813524000</v>
      </c>
      <c r="H124" s="2">
        <v>758564000</v>
      </c>
      <c r="I124" s="2">
        <v>394841000</v>
      </c>
    </row>
    <row r="125">
      <c r="B125" t="str">
        <v>Total Saldo Laba</v>
      </c>
      <c r="C125" s="2">
        <v>956602000</v>
      </c>
      <c r="D125" s="2">
        <v>813564000</v>
      </c>
      <c r="E125" s="2">
        <v>1027165000</v>
      </c>
      <c r="F125" s="2">
        <v>868524000</v>
      </c>
      <c r="H125" s="2">
        <v>813564000</v>
      </c>
      <c r="I125" s="2">
        <v>439841000</v>
      </c>
      <c r="J125" s="2">
        <v>1842560000</v>
      </c>
      <c r="K125" s="2">
        <v>1617570000</v>
      </c>
      <c r="L125" s="2">
        <v>1194177000</v>
      </c>
    </row>
    <row r="126">
      <c r="B126" t="str">
        <v>Kepentingan Non Pengenda...</v>
      </c>
      <c r="C126" s="2">
        <v>306760000</v>
      </c>
      <c r="D126" s="2">
        <v>316078000</v>
      </c>
      <c r="E126" s="2">
        <v>328104000</v>
      </c>
      <c r="F126" s="2">
        <v>349987000</v>
      </c>
      <c r="H126" s="2">
        <v>316078000</v>
      </c>
      <c r="I126" s="2">
        <v>364591000</v>
      </c>
      <c r="J126" s="2">
        <v>424464000</v>
      </c>
      <c r="K126" s="2">
        <v>392503000</v>
      </c>
      <c r="L126" s="2">
        <v>297333000</v>
      </c>
    </row>
    <row r="127">
      <c r="B127" t="str">
        <v>Total Ekuitas</v>
      </c>
      <c r="C127" s="2">
        <v>3781230000</v>
      </c>
      <c r="D127" s="2">
        <v>3649628000</v>
      </c>
      <c r="E127" s="2">
        <v>3792722000</v>
      </c>
      <c r="F127" s="2">
        <v>3726138000</v>
      </c>
      <c r="H127" s="2">
        <v>3649628000</v>
      </c>
      <c r="I127" s="2">
        <v>3363482000</v>
      </c>
      <c r="J127" s="2">
        <v>4790464000</v>
      </c>
      <c r="K127" s="2">
        <v>4508216000</v>
      </c>
      <c r="L127" s="2">
        <v>3622050000</v>
      </c>
    </row>
    <row r="128">
      <c r="B128" t="str">
        <v>Total Liabilitas Dan Ekuitas</v>
      </c>
      <c r="C128" s="2">
        <v>5780540000</v>
      </c>
      <c r="D128" s="2">
        <v>5706276000</v>
      </c>
      <c r="E128" s="2">
        <v>6111924000</v>
      </c>
      <c r="F128" s="2">
        <v>6088069000</v>
      </c>
      <c r="H128" s="2">
        <v>5706276000</v>
      </c>
      <c r="I128" s="2">
        <v>5992658000</v>
      </c>
      <c r="J128" s="2">
        <v>7062916000</v>
      </c>
      <c r="K128" s="2">
        <v>7966086000</v>
      </c>
      <c r="L128" s="2">
        <v>6190810000</v>
      </c>
    </row>
    <row r="129">
      <c r="B129" t="str">
        <v>Saham Beredar</v>
      </c>
      <c r="C129" s="2">
        <v>7786891760</v>
      </c>
      <c r="D129" s="2">
        <v>7786891760</v>
      </c>
      <c r="E129" s="2">
        <v>7786891760</v>
      </c>
      <c r="F129" s="2">
        <v>7786891760</v>
      </c>
      <c r="H129" s="2">
        <v>7786891760</v>
      </c>
      <c r="I129" s="2">
        <v>7786891760</v>
      </c>
      <c r="J129" s="2">
        <v>7008202560</v>
      </c>
      <c r="K129" s="2">
        <v>7008202560</v>
      </c>
      <c r="L129" s="2">
        <v>7008202560</v>
      </c>
    </row>
    <row r="131">
      <c r="A131" t="str">
        <v>Cash Flow</v>
      </c>
      <c r="B131" t="str">
        <v>Arus Kas Dari Aktivitas Operasi</v>
      </c>
      <c r="C131" s="2">
        <v>45289000</v>
      </c>
      <c r="D131" s="2">
        <v>174347000</v>
      </c>
      <c r="E131" s="2">
        <v>142671000</v>
      </c>
      <c r="F131" s="2">
        <v>215569000</v>
      </c>
      <c r="H131" s="2">
        <v>859242000</v>
      </c>
      <c r="I131" s="2">
        <v>1198515000</v>
      </c>
      <c r="J131" s="2">
        <v>595206000</v>
      </c>
      <c r="K131" s="2">
        <v>3135343000</v>
      </c>
      <c r="L131" s="2">
        <v>1065404000</v>
      </c>
    </row>
    <row r="132">
      <c r="B132" t="str">
        <v>Penerimaan Kas Dari Pelan...</v>
      </c>
      <c r="C132" s="2">
        <v>1067055000</v>
      </c>
      <c r="D132" s="2">
        <v>1303988000</v>
      </c>
      <c r="E132" s="2">
        <v>1170146000</v>
      </c>
      <c r="F132" s="2">
        <v>1154143000</v>
      </c>
      <c r="H132" s="2">
        <v>4800728000</v>
      </c>
      <c r="I132" s="2">
        <v>5330411000</v>
      </c>
      <c r="J132" s="2">
        <v>6095300000</v>
      </c>
      <c r="K132" s="2">
        <v>7521465000</v>
      </c>
      <c r="L132" s="2">
        <v>3647621000</v>
      </c>
    </row>
    <row r="133">
      <c r="B133" t="str">
        <v>Penerimaan Bunga</v>
      </c>
      <c r="C133" s="2">
        <v>7831000</v>
      </c>
      <c r="D133" s="2">
        <v>10703000</v>
      </c>
      <c r="E133" s="2">
        <v>13827000</v>
      </c>
      <c r="F133" s="2">
        <v>14187000</v>
      </c>
      <c r="H133" s="2">
        <v>52807000</v>
      </c>
      <c r="I133" s="2">
        <v>83978000</v>
      </c>
      <c r="J133" s="2">
        <v>111088000</v>
      </c>
      <c r="K133" s="2">
        <v>54044000</v>
      </c>
      <c r="L133" s="2">
        <v>28007000</v>
      </c>
    </row>
    <row r="134">
      <c r="B134" t="str">
        <v>Pembayaran Kas Kepada Pem...</v>
      </c>
      <c r="C134" s="2">
        <v>-835726000</v>
      </c>
      <c r="D134" s="2">
        <v>-934337000</v>
      </c>
      <c r="E134" s="2">
        <v>-771827000</v>
      </c>
      <c r="F134" s="2">
        <v>-714909000</v>
      </c>
      <c r="H134" s="2">
        <v>-3012409000</v>
      </c>
      <c r="I134" s="2">
        <v>-2994774000</v>
      </c>
      <c r="J134" s="2">
        <v>-2927993000</v>
      </c>
      <c r="K134" s="2">
        <v>-2532687000</v>
      </c>
      <c r="L134" s="2">
        <v>-1713912000</v>
      </c>
    </row>
    <row r="135">
      <c r="B135" t="str">
        <v>Pembayaran Royalti</v>
      </c>
      <c r="C135" s="2">
        <v>-137818000</v>
      </c>
      <c r="D135" s="2">
        <v>-149456000</v>
      </c>
      <c r="E135" s="2">
        <v>-154999000</v>
      </c>
      <c r="F135" s="2">
        <v>-171110000</v>
      </c>
      <c r="H135" s="2">
        <v>-706528000</v>
      </c>
      <c r="I135" s="2">
        <v>-947805000</v>
      </c>
      <c r="J135" s="2">
        <v>-1357339000</v>
      </c>
      <c r="K135" s="2">
        <v>-1043571000</v>
      </c>
      <c r="L135" s="2">
        <v>-499412000</v>
      </c>
    </row>
    <row r="136">
      <c r="B136" t="str">
        <v>Pembayaran Pajak Penghasi...</v>
      </c>
      <c r="C136" s="2">
        <v>-46716000</v>
      </c>
      <c r="D136" s="2">
        <v>-50361000</v>
      </c>
      <c r="E136" s="2">
        <v>-49201000</v>
      </c>
      <c r="F136" s="2">
        <v>-58446000</v>
      </c>
      <c r="H136" s="2">
        <v>-204143000</v>
      </c>
      <c r="I136" s="2">
        <v>-255674000</v>
      </c>
      <c r="J136" s="2">
        <v>-1318354000</v>
      </c>
      <c r="K136" s="2">
        <v>-743289000</v>
      </c>
      <c r="L136" s="2">
        <v>-272277000</v>
      </c>
    </row>
    <row r="137">
      <c r="B137" t="str">
        <v>Penerimaan Restitusi Paja...</v>
      </c>
      <c r="C137" s="2">
        <v>2412000</v>
      </c>
      <c r="E137" s="2">
        <v>20000</v>
      </c>
      <c r="F137" s="2">
        <v>4456000</v>
      </c>
      <c r="H137" s="2">
        <v>4634000</v>
      </c>
      <c r="I137" s="2">
        <v>6924000</v>
      </c>
      <c r="J137" s="2">
        <v>253000</v>
      </c>
      <c r="K137" s="2">
        <v>2881000</v>
      </c>
      <c r="L137" s="2">
        <v>3457000</v>
      </c>
    </row>
    <row r="138">
      <c r="B138" t="str">
        <v>Penerimaan Pengembalian P...</v>
      </c>
      <c r="C138" s="2">
        <v>52299000</v>
      </c>
      <c r="D138" s="2">
        <v>25048000</v>
      </c>
      <c r="E138" s="2">
        <v>41343000</v>
      </c>
      <c r="F138" s="2">
        <v>18403000</v>
      </c>
      <c r="H138" s="2">
        <v>182802000</v>
      </c>
      <c r="I138" s="2">
        <v>190160000</v>
      </c>
      <c r="J138" s="2">
        <v>148315000</v>
      </c>
      <c r="K138" s="2">
        <v>20838000</v>
      </c>
      <c r="L138" s="2">
        <v>11735000</v>
      </c>
    </row>
    <row r="139">
      <c r="B139" t="str">
        <v>Pembayaran Kepada Karyawa...</v>
      </c>
      <c r="C139" s="2">
        <v>-45581000</v>
      </c>
      <c r="D139" s="2">
        <v>-19557000</v>
      </c>
      <c r="E139" s="2">
        <v>-18589000</v>
      </c>
      <c r="F139" s="2">
        <v>-19534000</v>
      </c>
      <c r="H139" s="2">
        <v>-102799000</v>
      </c>
      <c r="I139" s="2">
        <v>-98998000</v>
      </c>
      <c r="J139" s="2">
        <v>-93520000</v>
      </c>
      <c r="K139" s="2">
        <v>-80989000</v>
      </c>
      <c r="L139" s="2">
        <v>-80441000</v>
      </c>
    </row>
    <row r="140">
      <c r="B140" t="str">
        <v>Pembayaran Pnbp Dan Penda...</v>
      </c>
      <c r="E140" s="2">
        <v>-69625000</v>
      </c>
      <c r="H140" s="2">
        <v>-91949000</v>
      </c>
      <c r="I140" s="2">
        <v>-44169000</v>
      </c>
    </row>
    <row r="141">
      <c r="B141" t="str">
        <v>Pembayaran Bunga Dan Beba...</v>
      </c>
      <c r="C141" s="2">
        <v>-19327000</v>
      </c>
      <c r="D141" s="2">
        <v>-13116000</v>
      </c>
      <c r="E141" s="2">
        <v>-19667000</v>
      </c>
      <c r="F141" s="2">
        <v>-14896000</v>
      </c>
      <c r="H141" s="2">
        <v>-72331000</v>
      </c>
      <c r="I141" s="2">
        <v>-81376000</v>
      </c>
      <c r="J141" s="2">
        <v>-71961000</v>
      </c>
      <c r="K141" s="2">
        <v>-60515000</v>
      </c>
      <c r="L141" s="2">
        <v>-64751000</v>
      </c>
    </row>
    <row r="142">
      <c r="B142" t="str">
        <v>Penerimaan/(Pembayaran) L...</v>
      </c>
      <c r="C142" s="2">
        <v>860000</v>
      </c>
      <c r="D142" s="2">
        <v>1435000</v>
      </c>
      <c r="E142" s="2">
        <v>1243000</v>
      </c>
      <c r="F142" s="2">
        <v>3275000</v>
      </c>
      <c r="H142" s="2">
        <v>8430000</v>
      </c>
      <c r="I142" s="2">
        <v>9838000</v>
      </c>
      <c r="J142" s="2">
        <v>9417000</v>
      </c>
      <c r="K142" s="2">
        <v>-2834000</v>
      </c>
      <c r="L142" s="2">
        <v>5377000</v>
      </c>
    </row>
    <row r="143">
      <c r="B143" t="str">
        <v>Total Arus Kas Dari Aktivitas...</v>
      </c>
      <c r="C143" s="2">
        <v>14487000</v>
      </c>
      <c r="D143" s="2">
        <v>-498133000</v>
      </c>
      <c r="E143" s="2">
        <v>-70283000</v>
      </c>
      <c r="F143" s="2">
        <v>-100206000</v>
      </c>
      <c r="H143" s="2">
        <v>-1061010000</v>
      </c>
      <c r="I143" s="2">
        <v>-2390458000</v>
      </c>
      <c r="J143" s="2">
        <v>-1365907000</v>
      </c>
      <c r="K143" s="2">
        <v>-1486570000</v>
      </c>
      <c r="L143" s="2">
        <v>-379701000</v>
      </c>
    </row>
    <row r="144">
      <c r="B144" t="str">
        <v>Arus Kas Dari Aktivitas Investa...</v>
      </c>
      <c r="C144" s="2">
        <v>-68293000</v>
      </c>
      <c r="D144" s="2">
        <v>-168606000</v>
      </c>
      <c r="E144" s="2">
        <v>-82539000</v>
      </c>
      <c r="F144" s="2">
        <v>-41938000</v>
      </c>
      <c r="H144" s="2">
        <v>-381046000</v>
      </c>
      <c r="I144" s="2">
        <v>197627000</v>
      </c>
      <c r="J144" s="2">
        <v>-79015000</v>
      </c>
      <c r="K144" s="2">
        <v>251105000</v>
      </c>
      <c r="L144" s="2">
        <v>122501000</v>
      </c>
    </row>
    <row r="145">
      <c r="B145" t="str">
        <v>Penerimaan Kas Dari Dives...</v>
      </c>
      <c r="I145" s="2">
        <v>510304000</v>
      </c>
      <c r="J145" s="2">
        <v>3034000</v>
      </c>
      <c r="L145" s="2">
        <v>380000000</v>
      </c>
    </row>
    <row r="146">
      <c r="B146" t="str">
        <v>Penerimaan Pembayaran Kem...</v>
      </c>
      <c r="L146" s="2">
        <v>248000</v>
      </c>
    </row>
    <row r="147">
      <c r="B147" t="str">
        <v>Penerimaan Hasil Penjuala...</v>
      </c>
      <c r="C147" s="2">
        <v>18756000</v>
      </c>
      <c r="D147" s="2">
        <v>33032000</v>
      </c>
      <c r="E147" s="2">
        <v>7228000</v>
      </c>
      <c r="F147" s="2">
        <v>46119000</v>
      </c>
      <c r="H147" s="2">
        <v>91003000</v>
      </c>
      <c r="I147" s="2">
        <v>18478000</v>
      </c>
      <c r="J147" s="2">
        <v>146660000</v>
      </c>
      <c r="K147" s="2">
        <v>138769000</v>
      </c>
      <c r="L147" s="2">
        <v>13607000</v>
      </c>
    </row>
    <row r="148">
      <c r="B148" t="str">
        <v>Penerimaan Pencairan Depo...</v>
      </c>
      <c r="I148" s="2">
        <v>729000</v>
      </c>
      <c r="J148" s="2">
        <v>607000</v>
      </c>
      <c r="K148" s="2">
        <v>20000</v>
      </c>
      <c r="L148" s="2">
        <v>400000</v>
      </c>
    </row>
    <row r="149">
      <c r="B149" t="str">
        <v>Hasil Penjualan Aset Teta...</v>
      </c>
      <c r="E149" s="2">
        <v>32000</v>
      </c>
      <c r="H149" s="2">
        <v>46000</v>
      </c>
      <c r="I149" s="2">
        <v>1210000</v>
      </c>
      <c r="J149" s="2">
        <v>463000</v>
      </c>
      <c r="K149" s="2">
        <v>234000</v>
      </c>
      <c r="L149" s="2">
        <v>8153000</v>
      </c>
    </row>
    <row r="150">
      <c r="B150" t="str">
        <v>Pembayaran Atas Akuisisi ...</v>
      </c>
      <c r="I150" s="2">
        <v>-219156000</v>
      </c>
      <c r="J150" s="2">
        <v>-107000</v>
      </c>
    </row>
    <row r="151">
      <c r="B151" t="str">
        <v>Perolehan Aset Tetap</v>
      </c>
      <c r="C151" s="2">
        <v>-76165000</v>
      </c>
      <c r="D151" s="2">
        <v>-78986000</v>
      </c>
      <c r="E151" s="2">
        <v>-81636000</v>
      </c>
      <c r="F151" s="2">
        <v>-78950000</v>
      </c>
      <c r="H151" s="2">
        <v>-310890000</v>
      </c>
      <c r="I151" s="2">
        <v>-350502000</v>
      </c>
      <c r="J151" s="2">
        <v>-248550000</v>
      </c>
      <c r="K151" s="2">
        <v>-99312000</v>
      </c>
      <c r="L151" s="2">
        <v>-49607000</v>
      </c>
    </row>
    <row r="152">
      <c r="B152" t="str">
        <v>Pembelian Investasi Lain-...</v>
      </c>
      <c r="C152" s="2">
        <v>-7013000</v>
      </c>
      <c r="D152" s="2">
        <v>-96026000</v>
      </c>
      <c r="E152" s="2">
        <v>-4312000</v>
      </c>
      <c r="F152" s="2">
        <v>-5848000</v>
      </c>
      <c r="H152" s="2">
        <v>-120260000</v>
      </c>
      <c r="I152" s="2">
        <v>-39166000</v>
      </c>
      <c r="J152" s="2">
        <v>-114363000</v>
      </c>
      <c r="K152" s="2">
        <v>-344940000</v>
      </c>
      <c r="L152" s="2">
        <v>-112920000</v>
      </c>
    </row>
    <row r="153">
      <c r="B153" t="str">
        <v>Pemberian Pinjaman Pihak ...</v>
      </c>
      <c r="L153" s="2">
        <v>-2510000</v>
      </c>
    </row>
    <row r="154">
      <c r="B154" t="str">
        <v>Penambahan Properti Perta...</v>
      </c>
      <c r="C154" s="2">
        <v>-744000</v>
      </c>
      <c r="D154" s="2">
        <v>-1968000</v>
      </c>
      <c r="E154" s="2">
        <v>-3843000</v>
      </c>
      <c r="F154" s="2">
        <v>-2370000</v>
      </c>
      <c r="H154" s="2">
        <v>-12987000</v>
      </c>
      <c r="I154" s="2">
        <v>-19547000</v>
      </c>
      <c r="J154" s="2">
        <v>-22461000</v>
      </c>
      <c r="K154" s="2">
        <v>-19168000</v>
      </c>
      <c r="L154" s="2">
        <v>-27055000</v>
      </c>
    </row>
    <row r="155">
      <c r="B155" t="str">
        <v>Penempatan Deposito Berja...</v>
      </c>
      <c r="C155" s="2">
        <v>-2961000</v>
      </c>
      <c r="D155" s="2">
        <v>-24109000</v>
      </c>
      <c r="E155" s="2">
        <v>-4000</v>
      </c>
      <c r="F155" s="2">
        <v>-862000</v>
      </c>
      <c r="H155" s="2">
        <v>-27344000</v>
      </c>
      <c r="I155" s="2">
        <v>-1133000</v>
      </c>
      <c r="J155" s="2">
        <v>-1995000</v>
      </c>
      <c r="K155" s="2">
        <v>-1960000</v>
      </c>
      <c r="L155" s="2">
        <v>-1761000</v>
      </c>
    </row>
    <row r="156">
      <c r="B156" t="str">
        <v>Pembayaran Atas Aset Tida...</v>
      </c>
      <c r="C156" s="2">
        <v>-166000</v>
      </c>
      <c r="D156" s="2">
        <v>-549000</v>
      </c>
      <c r="E156" s="2">
        <v>-126000</v>
      </c>
      <c r="F156" s="2">
        <v>-27000</v>
      </c>
      <c r="H156" s="2">
        <v>-736000</v>
      </c>
      <c r="I156" s="2">
        <v>-1068000</v>
      </c>
      <c r="J156" s="2">
        <v>-1192000</v>
      </c>
      <c r="K156" s="2">
        <v>-1610000</v>
      </c>
      <c r="L156" s="2">
        <v>-159000</v>
      </c>
    </row>
    <row r="157">
      <c r="B157" t="str">
        <v>Akuisisi Entitas Sepengen...</v>
      </c>
    </row>
    <row r="158">
      <c r="B158" t="str">
        <v>Pembayaran Atas Penambaha...</v>
      </c>
      <c r="I158" s="2">
        <v>-879000</v>
      </c>
      <c r="J158" s="2">
        <v>-3934000</v>
      </c>
      <c r="K158" s="2">
        <v>-196000</v>
      </c>
      <c r="L158" s="2">
        <v>-60393000</v>
      </c>
    </row>
    <row r="159">
      <c r="B159" t="str">
        <v>Pembelian Senior Notes</v>
      </c>
      <c r="I159" s="2">
        <v>49957000</v>
      </c>
      <c r="J159" s="2">
        <v>-7030000</v>
      </c>
      <c r="K159" s="2">
        <v>-42927000</v>
      </c>
    </row>
    <row r="160">
      <c r="B160" t="str">
        <v>Penerimaan Dividen Dari I...</v>
      </c>
      <c r="E160" s="2">
        <v>122000</v>
      </c>
      <c r="H160" s="2">
        <v>122000</v>
      </c>
      <c r="I160" s="2">
        <v>17644000</v>
      </c>
      <c r="K160" s="2">
        <v>3230000</v>
      </c>
    </row>
    <row r="161">
      <c r="B161" t="str">
        <v>Penerimaan Dari Piutang L...</v>
      </c>
      <c r="K161" s="2">
        <v>131764000</v>
      </c>
    </row>
    <row r="162">
      <c r="B162" t="str">
        <v>Arus Kas Dari Aktivitas Pendana...</v>
      </c>
      <c r="C162" s="2">
        <v>14487000</v>
      </c>
      <c r="D162" s="2">
        <v>-498133000</v>
      </c>
      <c r="E162" s="2">
        <v>-70283000</v>
      </c>
      <c r="F162" s="2">
        <v>-100206000</v>
      </c>
      <c r="H162" s="2">
        <v>-1061010000</v>
      </c>
      <c r="I162" s="2">
        <v>-2390458000</v>
      </c>
      <c r="J162" s="2">
        <v>-1365907000</v>
      </c>
      <c r="K162" s="2">
        <v>-1486570000</v>
      </c>
      <c r="L162" s="2">
        <v>-379701000</v>
      </c>
    </row>
    <row r="163">
      <c r="B163" t="str">
        <v>Pembayaran Divivden Kepad...</v>
      </c>
      <c r="D163" s="2">
        <v>-250000000</v>
      </c>
      <c r="H163" s="2">
        <v>-250000000</v>
      </c>
      <c r="I163" s="2">
        <v>-2971696000</v>
      </c>
      <c r="J163" s="2">
        <v>-1013780000</v>
      </c>
      <c r="K163" s="2">
        <v>-1511144000</v>
      </c>
      <c r="L163" s="2">
        <v>-580747000</v>
      </c>
    </row>
    <row r="164">
      <c r="B164" t="str">
        <v>Pembayaran Dividen Kepada...</v>
      </c>
      <c r="C164" s="2">
        <v>-2450000</v>
      </c>
      <c r="D164" s="2">
        <v>-23572000</v>
      </c>
      <c r="E164" s="2">
        <v>-29226000</v>
      </c>
      <c r="F164" s="2">
        <v>-6237000</v>
      </c>
      <c r="H164" s="2">
        <v>-133031000</v>
      </c>
      <c r="I164" s="2">
        <v>-188009000</v>
      </c>
      <c r="J164" s="2">
        <v>-133541000</v>
      </c>
      <c r="K164" s="2">
        <v>-207809000</v>
      </c>
      <c r="L164" s="2">
        <v>-17810000</v>
      </c>
    </row>
    <row r="165">
      <c r="B165" t="str">
        <v>Pembayaran Senior Notes</v>
      </c>
      <c r="I165" s="2">
        <v>-750000000</v>
      </c>
    </row>
    <row r="166">
      <c r="B166" t="str">
        <v>Pembayaran Pinjaman Dari ...</v>
      </c>
      <c r="C166" s="2">
        <v>-253000</v>
      </c>
      <c r="E166" s="2">
        <v>-1828000</v>
      </c>
      <c r="F166" s="2">
        <v>-84000</v>
      </c>
      <c r="H166" s="2">
        <v>-1912000</v>
      </c>
      <c r="J166" s="2">
        <v>-3256000</v>
      </c>
      <c r="K166" s="2">
        <v>-358000</v>
      </c>
      <c r="L166" s="2">
        <v>-9046000</v>
      </c>
    </row>
    <row r="167">
      <c r="B167" t="str">
        <v>Pembayaran Utang Bank</v>
      </c>
      <c r="C167" s="2">
        <v>-249000</v>
      </c>
      <c r="D167" s="2">
        <v>-255025000</v>
      </c>
      <c r="E167" s="2">
        <v>-10709000</v>
      </c>
      <c r="F167" s="2">
        <v>-34838000</v>
      </c>
      <c r="H167" s="2">
        <v>-616732000</v>
      </c>
      <c r="I167" s="2">
        <v>-84816000</v>
      </c>
      <c r="J167" s="2">
        <v>-284800000</v>
      </c>
      <c r="K167" s="2">
        <v>-61630000</v>
      </c>
      <c r="L167" s="2">
        <v>-487500000</v>
      </c>
    </row>
    <row r="168">
      <c r="B168" t="str">
        <v>Pembayaran Utang Sewa Pem...</v>
      </c>
      <c r="C168" s="2">
        <v>-1560000</v>
      </c>
      <c r="D168" s="2">
        <v>-1991000</v>
      </c>
      <c r="E168" s="2">
        <v>-984000</v>
      </c>
      <c r="F168" s="2">
        <v>-1443000</v>
      </c>
      <c r="H168" s="2">
        <v>-5899000</v>
      </c>
      <c r="I168" s="2">
        <v>-6545000</v>
      </c>
      <c r="J168" s="2">
        <v>-6220000</v>
      </c>
      <c r="K168" s="2">
        <v>-5545000</v>
      </c>
      <c r="L168" s="2">
        <v>-3024000</v>
      </c>
    </row>
    <row r="169">
      <c r="B169" t="str">
        <v>Pembayaran Biaya Transaks...</v>
      </c>
      <c r="I169" s="2">
        <v>-2905000</v>
      </c>
      <c r="J169" s="2">
        <v>-9029000</v>
      </c>
      <c r="L169" s="2">
        <v>-10897000</v>
      </c>
    </row>
    <row r="170">
      <c r="B170" t="str">
        <v>Penerimaan Pinjaman Dari ...</v>
      </c>
      <c r="C170" s="2">
        <v>254000</v>
      </c>
      <c r="E170" s="2">
        <v>1830000</v>
      </c>
      <c r="F170" s="2">
        <v>84000</v>
      </c>
      <c r="H170" s="2">
        <v>1914000</v>
      </c>
      <c r="I170" s="2">
        <v>15596000</v>
      </c>
      <c r="J170" s="2">
        <v>3076000</v>
      </c>
      <c r="L170" s="2">
        <v>3614000</v>
      </c>
    </row>
    <row r="171">
      <c r="B171" t="str">
        <v>Penerimaan Utang Bank</v>
      </c>
      <c r="C171" s="2">
        <v>120090000</v>
      </c>
      <c r="D171" s="2">
        <v>16355000</v>
      </c>
      <c r="E171" s="2">
        <v>100934000</v>
      </c>
      <c r="F171" s="2">
        <v>121412000</v>
      </c>
      <c r="H171" s="2">
        <v>299950000</v>
      </c>
      <c r="I171" s="2">
        <v>604416000</v>
      </c>
      <c r="J171" s="2">
        <v>50980000</v>
      </c>
      <c r="K171" s="2">
        <v>7520000</v>
      </c>
      <c r="L171" s="2">
        <v>641000000</v>
      </c>
    </row>
    <row r="172">
      <c r="B172" t="str">
        <v>Penerimaan Dari Kepenting...</v>
      </c>
      <c r="J172" s="2">
        <v>106000</v>
      </c>
    </row>
    <row r="173">
      <c r="B173" t="str">
        <v>Akuisisi Kepentingan Pada...</v>
      </c>
      <c r="L173" s="2">
        <v>-3627000</v>
      </c>
    </row>
    <row r="174">
      <c r="B174" t="str">
        <v>Penerimaan Setoran Modal ...</v>
      </c>
      <c r="J174" s="2">
        <v>18614000</v>
      </c>
      <c r="L174" s="2">
        <v>350000</v>
      </c>
    </row>
    <row r="175">
      <c r="B175" t="str">
        <v>Penerimaan Uang Muka Seto...</v>
      </c>
    </row>
    <row r="176">
      <c r="B176" t="str">
        <v>Penerimaan Pembayaran Yan...</v>
      </c>
      <c r="D176" s="2">
        <v>16100000</v>
      </c>
      <c r="H176" s="2">
        <v>16100000</v>
      </c>
      <c r="I176" s="2">
        <v>15800000</v>
      </c>
      <c r="J176" s="2">
        <v>15400000</v>
      </c>
      <c r="K176" s="2">
        <v>66700000</v>
      </c>
    </row>
    <row r="177">
      <c r="B177" t="str">
        <v>Penerimaan Atas Penerbita...</v>
      </c>
      <c r="K177" s="2">
        <v>233696000</v>
      </c>
    </row>
    <row r="178">
      <c r="B178" t="str">
        <v>Pembayaran Biaya Emisi Sa...</v>
      </c>
      <c r="I178" s="2">
        <v>-3225000</v>
      </c>
    </row>
    <row r="179">
      <c r="B179" t="str">
        <v>Kenaikan (Penurunan) Bersih Kas...</v>
      </c>
      <c r="C179" s="2">
        <v>-8517000</v>
      </c>
      <c r="D179" s="2">
        <v>-492392000</v>
      </c>
      <c r="E179" s="2">
        <v>-10151000</v>
      </c>
      <c r="F179" s="2">
        <v>73425000</v>
      </c>
      <c r="H179" s="2">
        <v>-582814000</v>
      </c>
      <c r="I179" s="2">
        <v>-994316000</v>
      </c>
      <c r="J179" s="2">
        <v>-849716000</v>
      </c>
      <c r="K179" s="2">
        <v>1899878000</v>
      </c>
      <c r="L179" s="2">
        <v>808204000</v>
      </c>
    </row>
    <row r="180">
      <c r="B180" t="str">
        <v>Kas Dan Setara Kas Awal Periode</v>
      </c>
      <c r="C180" s="2">
        <v>925445000</v>
      </c>
      <c r="H180" s="2">
        <v>1518688000</v>
      </c>
      <c r="I180" s="2">
        <v>2534480000</v>
      </c>
      <c r="J180" s="2">
        <v>3380339000</v>
      </c>
      <c r="K180" s="2">
        <v>1503070000</v>
      </c>
      <c r="L180" s="2">
        <v>1100076000</v>
      </c>
    </row>
    <row r="181">
      <c r="B181" t="str">
        <v>Dampak Neto Perubahan Nilai Tuk...</v>
      </c>
      <c r="C181" s="2">
        <v>-2497000</v>
      </c>
      <c r="D181" s="2">
        <v>807000</v>
      </c>
      <c r="E181" s="2">
        <v>-6763000</v>
      </c>
      <c r="F181" s="2">
        <v>2186000</v>
      </c>
      <c r="H181" s="2">
        <v>-10429000</v>
      </c>
      <c r="I181" s="2">
        <v>-21476000</v>
      </c>
      <c r="J181" s="2">
        <v>3857000</v>
      </c>
      <c r="K181" s="2">
        <v>-22609000</v>
      </c>
      <c r="L181" s="2">
        <v>-816000</v>
      </c>
    </row>
    <row r="182">
      <c r="B182" t="str">
        <v>Kas Dan Setara Kas Akhir Period...</v>
      </c>
      <c r="C182" s="2">
        <v>914431000</v>
      </c>
      <c r="D182" s="2">
        <v>-491585000</v>
      </c>
      <c r="E182" s="2">
        <v>-16914000</v>
      </c>
      <c r="F182" s="2">
        <v>75611000</v>
      </c>
      <c r="H182" s="2">
        <v>925445000</v>
      </c>
      <c r="I182" s="2">
        <v>1518688000</v>
      </c>
      <c r="J182" s="2">
        <v>2534480000</v>
      </c>
      <c r="K182" s="2">
        <v>3380339000</v>
      </c>
      <c r="L182" s="2">
        <v>1907464000</v>
      </c>
    </row>
    <row r="184">
      <c r="A184" t="str">
        <v>Key Ratio</v>
      </c>
      <c r="B184" t="str">
        <v>Share Outstanding</v>
      </c>
      <c r="C184" t="str">
        <v>7.79 B</v>
      </c>
      <c r="D184" t="str">
        <v>7.79 B</v>
      </c>
      <c r="E184" t="str">
        <v>7.79 B</v>
      </c>
      <c r="F184" t="str">
        <v>7.79 B</v>
      </c>
      <c r="H184" t="str">
        <v>7.79 B</v>
      </c>
      <c r="I184" t="str">
        <v>7.79 B</v>
      </c>
      <c r="J184" t="str">
        <v>7.01 B</v>
      </c>
      <c r="K184" t="str">
        <v>7.01 B</v>
      </c>
      <c r="L184" t="str">
        <v>7.01 B</v>
      </c>
    </row>
    <row r="185">
      <c r="B185" t="str">
        <v>EPS (Quarter)</v>
      </c>
      <c r="C185" t="str">
        <v>309.67</v>
      </c>
      <c r="D185" t="str">
        <v>370.00</v>
      </c>
      <c r="E185" t="str">
        <v>333.53</v>
      </c>
      <c r="F185" t="str">
        <v>493.27</v>
      </c>
    </row>
    <row r="186">
      <c r="B186" t="str">
        <v>PE Ratio (Quarter)</v>
      </c>
      <c r="C186" t="str">
        <v>36.41</v>
      </c>
      <c r="D186" t="str">
        <v>18.85</v>
      </c>
      <c r="E186" t="str">
        <v>22.34</v>
      </c>
      <c r="F186" t="str">
        <v>13.68</v>
      </c>
    </row>
    <row r="187">
      <c r="B187" t="str">
        <v>Price to Sales (Quarter)</v>
      </c>
      <c r="C187" t="str">
        <v>4.99</v>
      </c>
      <c r="D187" t="str">
        <v>2.50</v>
      </c>
      <c r="E187" t="str">
        <v>2.93</v>
      </c>
      <c r="F187" t="str">
        <v>2.58</v>
      </c>
    </row>
    <row r="188">
      <c r="B188" t="str">
        <v>EBITDA (Quarter)</v>
      </c>
      <c r="C188" t="str">
        <v>3,991.08 B</v>
      </c>
      <c r="D188" t="str">
        <v>4,474.82 B</v>
      </c>
      <c r="E188" t="str">
        <v>3,804.66 B</v>
      </c>
      <c r="F188" t="str">
        <v>5,770.39 B</v>
      </c>
    </row>
    <row r="189">
      <c r="B189" t="str">
        <v>Return on Assets (Quarter)</v>
      </c>
      <c r="C189" t="str">
        <v>2.45%</v>
      </c>
      <c r="D189" t="str">
        <v>3.02%</v>
      </c>
      <c r="E189" t="str">
        <v>2.55%</v>
      </c>
      <c r="F189" t="str">
        <v>3.89%</v>
      </c>
    </row>
    <row r="190">
      <c r="B190" t="str">
        <v>Return on Equity (Quarter)</v>
      </c>
      <c r="C190" t="str">
        <v>4.08%</v>
      </c>
      <c r="D190" t="str">
        <v>5.17%</v>
      </c>
      <c r="E190" t="str">
        <v>4.49%</v>
      </c>
      <c r="F190" t="str">
        <v>7.01%</v>
      </c>
    </row>
    <row r="191">
      <c r="B191" t="str">
        <v>Return on Capital Employed (Quarter)</v>
      </c>
      <c r="C191" t="str">
        <v>4.36%</v>
      </c>
      <c r="D191" t="str">
        <v>4.66%</v>
      </c>
      <c r="E191" t="str">
        <v>3.91%</v>
      </c>
      <c r="F191" t="str">
        <v>6.42%</v>
      </c>
    </row>
    <row r="192">
      <c r="B192" t="str">
        <v>Interest Coverage (Quarter)</v>
      </c>
      <c r="C192" t="str">
        <v>32.57</v>
      </c>
      <c r="D192" t="str">
        <v>17.28</v>
      </c>
      <c r="E192" t="str">
        <v>16.55</v>
      </c>
      <c r="F192" t="str">
        <v>21.88</v>
      </c>
    </row>
    <row r="193">
      <c r="B193" t="str">
        <v>Total Equity (Quarter)</v>
      </c>
      <c r="C193" t="str">
        <v>64,277 B</v>
      </c>
      <c r="D193" t="str">
        <v>61,022 B</v>
      </c>
      <c r="E193" t="str">
        <v>63,308 B</v>
      </c>
      <c r="F193" t="str">
        <v>60,479 B</v>
      </c>
    </row>
    <row r="194">
      <c r="B194" t="str">
        <v>Price to Book Value (Quarter)</v>
      </c>
      <c r="C194" t="str">
        <v>1.49</v>
      </c>
      <c r="D194" t="str">
        <v>0.97</v>
      </c>
      <c r="E194" t="str">
        <v>1.00</v>
      </c>
      <c r="F194" t="str">
        <v>0.96</v>
      </c>
    </row>
    <row r="195">
      <c r="B195" t="str">
        <v>Book Value Per Share (Quarter)</v>
      </c>
      <c r="C195" t="str">
        <v>7584.86</v>
      </c>
      <c r="D195" t="str">
        <v>7157.79</v>
      </c>
      <c r="E195" t="str">
        <v>7426.76</v>
      </c>
      <c r="F195" t="str">
        <v>7037.25</v>
      </c>
    </row>
    <row r="196">
      <c r="B196" t="str">
        <v>Price to Tang. Book Value (Quarter)</v>
      </c>
      <c r="C196" t="str">
        <v>1.89</v>
      </c>
      <c r="D196" t="str">
        <v>1.25</v>
      </c>
      <c r="E196" t="str">
        <v>1.00</v>
      </c>
      <c r="F196" t="str">
        <v>1.23</v>
      </c>
    </row>
    <row r="197">
      <c r="B197" t="str">
        <v>Tang. Book Value Per Share (Quarter)</v>
      </c>
      <c r="C197" t="str">
        <v>5971.41</v>
      </c>
      <c r="D197" t="str">
        <v>5570.67</v>
      </c>
      <c r="E197" t="str">
        <v>5842.77</v>
      </c>
      <c r="F197" t="str">
        <v>5496.66</v>
      </c>
    </row>
    <row r="198">
      <c r="B198" t="str">
        <v>Short-term Debt (Quarter)</v>
      </c>
      <c r="C198" t="str">
        <v>860 B</v>
      </c>
      <c r="D198" t="str">
        <v>740 B</v>
      </c>
      <c r="E198" t="str">
        <v>297 B</v>
      </c>
      <c r="F198" t="str">
        <v>431 B</v>
      </c>
    </row>
    <row r="199">
      <c r="B199" t="str">
        <v>Long-term Debt (Quarter)</v>
      </c>
      <c r="C199" t="str">
        <v>13,427 B</v>
      </c>
      <c r="D199" t="str">
        <v>13,073 B</v>
      </c>
      <c r="E199" t="str">
        <v>17,165 B</v>
      </c>
      <c r="F199" t="str">
        <v>17,195 B</v>
      </c>
    </row>
    <row r="200">
      <c r="B200" t="str">
        <v>Common Equity</v>
      </c>
      <c r="C200" t="str">
        <v>59,063 B</v>
      </c>
      <c r="D200" t="str">
        <v>55,737 B</v>
      </c>
      <c r="E200" t="str">
        <v>57,831 B</v>
      </c>
      <c r="F200" t="str">
        <v>54,798 B</v>
      </c>
    </row>
    <row r="201">
      <c r="B201" t="str">
        <v>Total Debt (Quarter)</v>
      </c>
      <c r="C201" t="str">
        <v>14,286 B</v>
      </c>
      <c r="D201" t="str">
        <v>13,813 B</v>
      </c>
      <c r="E201" t="str">
        <v>17,462 B</v>
      </c>
      <c r="F201" t="str">
        <v>17,626 B</v>
      </c>
    </row>
    <row r="202">
      <c r="B202" t="str">
        <v>Net Debt (Quarter)</v>
      </c>
      <c r="C202" t="str">
        <v>(1,258 B)</v>
      </c>
      <c r="D202" t="str">
        <v>(1,660 B)</v>
      </c>
      <c r="E202" t="str">
        <v>(6,191 B)</v>
      </c>
      <c r="F202" t="str">
        <v>(5,648 B)</v>
      </c>
    </row>
    <row r="203">
      <c r="B203" t="str">
        <v>Working Capital (Quarter)</v>
      </c>
      <c r="C203" t="str">
        <v>16,071 B</v>
      </c>
      <c r="D203" t="str">
        <v>14,607 B</v>
      </c>
      <c r="E203" t="str">
        <v>21,126 B</v>
      </c>
      <c r="F203" t="str">
        <v>19,723 B</v>
      </c>
    </row>
    <row r="204">
      <c r="B204" t="str">
        <v>Operating Cash Flow (Quarter)</v>
      </c>
      <c r="C204" t="str">
        <v>770 B</v>
      </c>
      <c r="D204" t="str">
        <v>2,934 B</v>
      </c>
      <c r="E204" t="str">
        <v>2,631 B</v>
      </c>
      <c r="F204" t="str">
        <v>3,389 B</v>
      </c>
    </row>
    <row r="205">
      <c r="B205" t="str">
        <v>Capital expenditure (Quarter)</v>
      </c>
      <c r="C205" t="str">
        <v>(1,307 B)</v>
      </c>
      <c r="D205" t="str">
        <v>(1,360 B)</v>
      </c>
      <c r="E205" t="str">
        <v>(1,499 B)</v>
      </c>
      <c r="F205" t="str">
        <v>(1,294 B)</v>
      </c>
    </row>
    <row r="206">
      <c r="B206" t="str">
        <v>Free cash flow (Quarter)</v>
      </c>
      <c r="C206" t="str">
        <v>(538 B)</v>
      </c>
      <c r="D206" t="str">
        <v>1,574 B</v>
      </c>
      <c r="E206" t="str">
        <v>1,132 B</v>
      </c>
      <c r="F206" t="str">
        <v>2,095 B</v>
      </c>
    </row>
    <row r="207">
      <c r="B207" t="str">
        <v>Free cash flow per share (Quarter)</v>
      </c>
      <c r="C207" t="str">
        <v>-69.03</v>
      </c>
      <c r="D207" t="str">
        <v>202.12</v>
      </c>
      <c r="E207" t="str">
        <v>145.38</v>
      </c>
      <c r="F207" t="str">
        <v>269.05</v>
      </c>
    </row>
    <row r="208">
      <c r="B208" t="str">
        <v>EPS (Annual)</v>
      </c>
      <c r="H208" t="str">
        <v>1608.59</v>
      </c>
      <c r="I208" t="str">
        <v>2464.53</v>
      </c>
      <c r="J208" t="str">
        <v>2489.68</v>
      </c>
      <c r="K208" t="str">
        <v>4382.72</v>
      </c>
      <c r="L208" t="str">
        <v>1494.71</v>
      </c>
    </row>
    <row r="209">
      <c r="B209" t="str">
        <v>PE Ratio (Annual)</v>
      </c>
      <c r="H209" t="str">
        <v>4.34</v>
      </c>
      <c r="I209" t="str">
        <v>3.44</v>
      </c>
      <c r="J209" t="str">
        <v>0.00</v>
      </c>
      <c r="K209" t="str">
        <v>0.00</v>
      </c>
      <c r="L209" t="str">
        <v>0.00</v>
      </c>
    </row>
    <row r="210">
      <c r="B210" t="str">
        <v>Price to Sales (Annual)</v>
      </c>
      <c r="H210" t="str">
        <v>0.67</v>
      </c>
      <c r="I210" t="str">
        <v>0.78</v>
      </c>
      <c r="J210" t="str">
        <v>0.00</v>
      </c>
      <c r="K210" t="str">
        <v>0.00</v>
      </c>
      <c r="L210" t="str">
        <v>0.00</v>
      </c>
    </row>
    <row r="211">
      <c r="B211" t="str">
        <v>EBITDA (Annual)</v>
      </c>
      <c r="H211" t="str">
        <v>19,223.22 B</v>
      </c>
      <c r="I211" t="str">
        <v>25,117.80 B</v>
      </c>
      <c r="J211" t="str">
        <v>22,731.04 B</v>
      </c>
      <c r="K211" t="str">
        <v>59,004.53 B</v>
      </c>
      <c r="L211" t="str">
        <v>23,104.99 B</v>
      </c>
    </row>
    <row r="212">
      <c r="B212" t="str">
        <v>Return on Assets (Annual)</v>
      </c>
      <c r="H212" t="str">
        <v>13.13%</v>
      </c>
      <c r="I212" t="str">
        <v>19.82%</v>
      </c>
      <c r="J212" t="str">
        <v>16.00%</v>
      </c>
      <c r="K212" t="str">
        <v>24.73%</v>
      </c>
      <c r="L212" t="str">
        <v>11.85%</v>
      </c>
    </row>
    <row r="213">
      <c r="B213" t="str">
        <v>Return on Equity (Annual)</v>
      </c>
      <c r="H213" t="str">
        <v>22.47%</v>
      </c>
      <c r="I213" t="str">
        <v>39.61%</v>
      </c>
      <c r="J213" t="str">
        <v>25.88%</v>
      </c>
      <c r="K213" t="str">
        <v>47.86%</v>
      </c>
      <c r="L213" t="str">
        <v>22.07%</v>
      </c>
    </row>
    <row r="214">
      <c r="B214" t="str">
        <v>Return on Capital Employed (Annual)</v>
      </c>
      <c r="H214" t="str">
        <v>21.12%</v>
      </c>
      <c r="I214" t="str">
        <v>28.63%</v>
      </c>
      <c r="J214" t="str">
        <v>24.61%</v>
      </c>
      <c r="K214" t="str">
        <v>65.80%</v>
      </c>
      <c r="L214" t="str">
        <v>49.96%</v>
      </c>
    </row>
    <row r="215">
      <c r="B215" t="str">
        <v>Interest Coverage (Annual)</v>
      </c>
      <c r="H215" t="str">
        <v>17.79</v>
      </c>
      <c r="I215" t="str">
        <v>19.04</v>
      </c>
      <c r="J215" t="str">
        <v>18.65</v>
      </c>
      <c r="K215" t="str">
        <v>52.71</v>
      </c>
      <c r="L215" t="str">
        <v>17.66</v>
      </c>
    </row>
    <row r="216">
      <c r="B216" t="str">
        <v>Price to Book Value (Annual)</v>
      </c>
      <c r="H216" t="str">
        <v>0.97</v>
      </c>
      <c r="I216" t="str">
        <v>1.36</v>
      </c>
      <c r="J216" t="str">
        <v>0.00</v>
      </c>
      <c r="K216" t="str">
        <v>0.00</v>
      </c>
      <c r="L216" t="str">
        <v>0.00</v>
      </c>
    </row>
    <row r="217">
      <c r="B217" t="str">
        <v>Book Value Per Share (Annual)</v>
      </c>
      <c r="H217" t="str">
        <v>7157.79</v>
      </c>
      <c r="I217" t="str">
        <v>6222.39</v>
      </c>
      <c r="J217" t="str">
        <v>9618.25</v>
      </c>
      <c r="K217" t="str">
        <v>9156.73</v>
      </c>
      <c r="L217" t="str">
        <v>6773.54</v>
      </c>
    </row>
    <row r="218">
      <c r="B218" t="str">
        <v>Price to Tang. Book Value (Annual)</v>
      </c>
      <c r="H218" t="str">
        <v>1.25</v>
      </c>
      <c r="I218" t="str">
        <v>1.81</v>
      </c>
      <c r="J218" t="str">
        <v>0.00</v>
      </c>
      <c r="K218" t="str">
        <v>0.00</v>
      </c>
      <c r="L218" t="str">
        <v>0.00</v>
      </c>
    </row>
    <row r="219">
      <c r="B219" t="str">
        <v>Tang. Book Value Per Share (Annual)</v>
      </c>
      <c r="H219" t="str">
        <v>5570.67</v>
      </c>
      <c r="I219" t="str">
        <v>4687.77</v>
      </c>
      <c r="J219" t="str">
        <v>7988.98</v>
      </c>
      <c r="K219" t="str">
        <v>7511.74</v>
      </c>
      <c r="L219" t="str">
        <v>5270.58</v>
      </c>
    </row>
    <row r="220">
      <c r="B220" t="str">
        <v>Short-term Debt (Annual)</v>
      </c>
      <c r="H220" t="str">
        <v>740 B</v>
      </c>
      <c r="I220" t="str">
        <v>703 B</v>
      </c>
      <c r="K220" t="str">
        <v>1,720 B</v>
      </c>
      <c r="L220" t="str">
        <v>1,479 B</v>
      </c>
    </row>
    <row r="221">
      <c r="B221" t="str">
        <v>Long-term Debt (Annual)</v>
      </c>
      <c r="H221" t="str">
        <v>13,073 B</v>
      </c>
      <c r="I221" t="str">
        <v>23,309 B</v>
      </c>
      <c r="J221" t="str">
        <v>3,039 B</v>
      </c>
      <c r="K221" t="str">
        <v>16,994 B</v>
      </c>
      <c r="L221" t="str">
        <v>17,051 B</v>
      </c>
    </row>
    <row r="222">
      <c r="B222" t="str">
        <v>Total Debt (Annual)</v>
      </c>
      <c r="H222" t="str">
        <v>13,813 B</v>
      </c>
      <c r="I222" t="str">
        <v>24,012 B</v>
      </c>
      <c r="J222" t="str">
        <v>14,809 B</v>
      </c>
      <c r="K222" t="str">
        <v>18,714 B</v>
      </c>
      <c r="L222" t="str">
        <v>18,530 B</v>
      </c>
    </row>
    <row r="223">
      <c r="B223" t="str">
        <v>Net Debt (Annual)</v>
      </c>
      <c r="H223" t="str">
        <v>(1,660 B)</v>
      </c>
      <c r="I223" t="str">
        <v>(525 B)</v>
      </c>
      <c r="J223" t="str">
        <v>(24,321 B)</v>
      </c>
      <c r="K223" t="str">
        <v>(33,993 B)</v>
      </c>
      <c r="L223" t="str">
        <v>(2,931 B)</v>
      </c>
    </row>
    <row r="224">
      <c r="B224" t="str">
        <v>Working capital (Annual)</v>
      </c>
      <c r="H224" t="str">
        <v>14,607 B</v>
      </c>
      <c r="I224" t="str">
        <v>21,672 B</v>
      </c>
      <c r="J224" t="str">
        <v>22,724 B</v>
      </c>
      <c r="K224" t="str">
        <v>34,446 B</v>
      </c>
      <c r="L224" t="str">
        <v>19,037 B</v>
      </c>
    </row>
    <row r="225">
      <c r="B225" t="str">
        <v>Operating Cash Flow (Annual)</v>
      </c>
      <c r="H225" t="str">
        <v>14,367 B</v>
      </c>
      <c r="I225" t="str">
        <v>19,364 B</v>
      </c>
      <c r="J225" t="str">
        <v>9,189 B</v>
      </c>
      <c r="K225" t="str">
        <v>48,886 B</v>
      </c>
      <c r="L225" t="str">
        <v>15,212 B</v>
      </c>
    </row>
    <row r="226">
      <c r="B226" t="str">
        <v>Capital expenditure (Annual)</v>
      </c>
      <c r="H226" t="str">
        <v>(5,415 B)</v>
      </c>
      <c r="I226" t="str">
        <v>(5,979 B)</v>
      </c>
      <c r="J226" t="str">
        <v>(4,184 B)</v>
      </c>
      <c r="K226" t="str">
        <v>(1,847 B)</v>
      </c>
      <c r="L226" t="str">
        <v>(1,095 B)</v>
      </c>
    </row>
    <row r="227">
      <c r="B227" t="str">
        <v>Free cash flow (Annual)</v>
      </c>
      <c r="H227" t="str">
        <v>8,951 B</v>
      </c>
      <c r="I227" t="str">
        <v>13,386 B</v>
      </c>
      <c r="J227" t="str">
        <v>5,005 B</v>
      </c>
      <c r="K227" t="str">
        <v>47,039 B</v>
      </c>
      <c r="L227" t="str">
        <v>14,117 B</v>
      </c>
    </row>
    <row r="228">
      <c r="B228" t="str">
        <v>Free cash flow per share (Annual)</v>
      </c>
      <c r="H228" t="str">
        <v>1149.53</v>
      </c>
      <c r="I228" t="str">
        <v>1718.98</v>
      </c>
      <c r="J228" t="str">
        <v>714.20</v>
      </c>
      <c r="K228" t="str">
        <v>6711.98</v>
      </c>
      <c r="L228" t="str">
        <v>2014.39</v>
      </c>
    </row>
    <row r="230">
      <c r="A230" t="str">
        <v>Key Stats</v>
      </c>
      <c r="B230" t="str">
        <v>Net Income</v>
      </c>
      <c r="C230" t="str">
        <v>2,411 B</v>
      </c>
      <c r="D230" t="str">
        <v>2,881 B</v>
      </c>
      <c r="E230" t="str">
        <v>2,597 B</v>
      </c>
      <c r="F230" t="str">
        <v>3,841 B</v>
      </c>
      <c r="G230" t="str">
        <v>9,645 B</v>
      </c>
      <c r="H230" t="str">
        <v>12,526 B</v>
      </c>
      <c r="I230" t="str">
        <v>19,191 B</v>
      </c>
      <c r="J230" t="str">
        <v>17,448 B</v>
      </c>
      <c r="K230" t="str">
        <v>30,715 B</v>
      </c>
      <c r="L230" t="str">
        <v>10,475 B</v>
      </c>
    </row>
    <row r="231">
      <c r="B231" t="str">
        <v>Net Income - TTM (Q1)</v>
      </c>
      <c r="G231" t="str">
        <v>11,737 B</v>
      </c>
      <c r="H231" t="str">
        <v>12,526 B</v>
      </c>
      <c r="I231" t="str">
        <v>19,191 B</v>
      </c>
    </row>
    <row r="232">
      <c r="B232" t="str">
        <v>Net Income - Div (TTM)</v>
      </c>
      <c r="G232" t="str">
        <v>1,001.40</v>
      </c>
      <c r="H232" t="str">
        <v>1,001.40</v>
      </c>
    </row>
    <row r="233">
      <c r="B233" t="str">
        <v>Net Income - Payout Ratio</v>
      </c>
      <c r="G233" t="str">
        <v>80.84%</v>
      </c>
      <c r="H233" t="str">
        <v>28.80%</v>
      </c>
    </row>
    <row r="234">
      <c r="B234" t="str">
        <v>Net Income - Div Yield</v>
      </c>
      <c r="G234" t="str">
        <v>11.58%</v>
      </c>
      <c r="H234" t="str">
        <v>5.77%</v>
      </c>
    </row>
    <row r="235">
      <c r="B235" t="str">
        <v>EPS</v>
      </c>
      <c r="C235" t="str">
        <v>309.67</v>
      </c>
      <c r="D235" t="str">
        <v>370.00</v>
      </c>
      <c r="E235" t="str">
        <v>333.53</v>
      </c>
      <c r="F235" t="str">
        <v>493.27</v>
      </c>
      <c r="G235" t="str">
        <v>1,238.68</v>
      </c>
      <c r="H235" t="str">
        <v>1,608.59</v>
      </c>
      <c r="I235" t="str">
        <v>2,464.53</v>
      </c>
      <c r="J235" t="str">
        <v>2,240.71</v>
      </c>
      <c r="K235" t="str">
        <v>3,944.44</v>
      </c>
      <c r="L235" t="str">
        <v>1,345.24</v>
      </c>
    </row>
    <row r="236">
      <c r="B236" t="str">
        <v>EPS - TTM (Q1)</v>
      </c>
      <c r="G236" t="str">
        <v>1,507.32</v>
      </c>
      <c r="H236" t="str">
        <v>1,608.59</v>
      </c>
      <c r="I236" t="str">
        <v>2,464.53</v>
      </c>
    </row>
    <row r="237">
      <c r="B237" t="str">
        <v>EPS - Div (TTM)</v>
      </c>
      <c r="G237" t="str">
        <v>1,001.40</v>
      </c>
      <c r="H237" t="str">
        <v>1,001.40</v>
      </c>
    </row>
    <row r="238">
      <c r="B238" t="str">
        <v>EPS - Payout Ratio</v>
      </c>
      <c r="G238" t="str">
        <v>80.84%</v>
      </c>
      <c r="H238" t="str">
        <v>28.80%</v>
      </c>
    </row>
    <row r="239">
      <c r="B239" t="str">
        <v>EPS - Div Yield</v>
      </c>
      <c r="G239" t="str">
        <v>11.58%</v>
      </c>
      <c r="H239" t="str">
        <v>5.77%</v>
      </c>
    </row>
    <row r="240">
      <c r="B240" t="str">
        <v>Revenue</v>
      </c>
      <c r="C240" t="str">
        <v>17,603 B</v>
      </c>
      <c r="D240" t="str">
        <v>21,687 B</v>
      </c>
      <c r="E240" t="str">
        <v>19,802 B</v>
      </c>
      <c r="F240" t="str">
        <v>20,388 B</v>
      </c>
      <c r="G240" t="str">
        <v>70,413 B</v>
      </c>
      <c r="H240" t="str">
        <v>80,909 B</v>
      </c>
      <c r="I240" t="str">
        <v>84,315 B</v>
      </c>
      <c r="J240" t="str">
        <v>90,236 B</v>
      </c>
      <c r="K240" t="str">
        <v>114,931 B</v>
      </c>
      <c r="L240" t="str">
        <v>55,273 B</v>
      </c>
    </row>
    <row r="241">
      <c r="B241" t="str">
        <v>Revenue - TTM (Q1)</v>
      </c>
      <c r="G241" t="str">
        <v>79,497 B</v>
      </c>
      <c r="H241" t="str">
        <v>80,909 B</v>
      </c>
      <c r="I241" t="str">
        <v>84,315 B</v>
      </c>
    </row>
    <row r="242">
      <c r="B242" t="str">
        <v>Revenue - Div (TTM)</v>
      </c>
      <c r="G242" t="str">
        <v>1,001.40</v>
      </c>
      <c r="H242" t="str">
        <v>1,001.40</v>
      </c>
    </row>
    <row r="243">
      <c r="B243" t="str">
        <v>Revenue - Payout Ratio</v>
      </c>
      <c r="G243" t="str">
        <v>80.84%</v>
      </c>
      <c r="H243" t="str">
        <v>28.80%</v>
      </c>
    </row>
    <row r="244">
      <c r="B244" t="str">
        <v>Revenue - Div Yield</v>
      </c>
      <c r="G244" t="str">
        <v>11.58%</v>
      </c>
      <c r="H244" t="str">
        <v>5.77%</v>
      </c>
    </row>
    <row r="245">
      <c r="B245" t="str">
        <v>Current PE Ratio (Annualised)</v>
      </c>
      <c r="H245" t="str">
        <v>6.98</v>
      </c>
    </row>
    <row r="246">
      <c r="B246" t="str">
        <v>Current PE Ratio (TTM)</v>
      </c>
      <c r="H246" t="str">
        <v>5.74</v>
      </c>
    </row>
    <row r="247">
      <c r="B247" t="str">
        <v>Forward PE Ratio</v>
      </c>
      <c r="H247" t="str">
        <v>3.98</v>
      </c>
    </row>
    <row r="248">
      <c r="B248" t="str">
        <v>IHSG PE Ratio TTM (Median)</v>
      </c>
      <c r="H248" t="str">
        <v>7.41</v>
      </c>
    </row>
    <row r="249">
      <c r="B249" t="str">
        <v>Earnings Yield (TTM)</v>
      </c>
      <c r="H249" t="str">
        <v>17.43%</v>
      </c>
    </row>
    <row r="250">
      <c r="B250" t="str">
        <v>Current Price to Sales (TTM)</v>
      </c>
      <c r="H250" t="str">
        <v>0.85</v>
      </c>
    </row>
    <row r="251">
      <c r="B251" t="str">
        <v>Current Price to Book Value</v>
      </c>
      <c r="H251" t="str">
        <v>1.14</v>
      </c>
    </row>
    <row r="252">
      <c r="B252" t="str">
        <v>Current Price To Cashflow (TTM)</v>
      </c>
      <c r="H252" t="str">
        <v>6.93</v>
      </c>
    </row>
    <row r="253">
      <c r="B253" t="str">
        <v>Current Price To Free Cashflow (TTM)</v>
      </c>
      <c r="H253" t="str">
        <v>15.80</v>
      </c>
    </row>
    <row r="254">
      <c r="B254" t="str">
        <v>EV to EBIT (TTM)</v>
      </c>
      <c r="H254" t="str">
        <v>4.45</v>
      </c>
    </row>
    <row r="255">
      <c r="B255" t="str">
        <v>EV to EBITDA (TTM)</v>
      </c>
      <c r="H255" t="str">
        <v>3.95</v>
      </c>
    </row>
    <row r="256">
      <c r="B256" t="str">
        <v>PEG Ratio</v>
      </c>
      <c r="H256" t="str">
        <v>-0.17</v>
      </c>
    </row>
    <row r="257">
      <c r="B257" t="str">
        <v>PEG Ratio (3yr)</v>
      </c>
      <c r="H257" t="str">
        <v>-0.20</v>
      </c>
    </row>
    <row r="258">
      <c r="B258" t="str">
        <v>Current EPS (TTM)</v>
      </c>
      <c r="H258" t="str">
        <v>1,507.32</v>
      </c>
    </row>
    <row r="259">
      <c r="B259" t="str">
        <v>Current EPS (Annualised)</v>
      </c>
      <c r="H259" t="str">
        <v>1,238.68</v>
      </c>
    </row>
    <row r="260">
      <c r="B260" t="str">
        <v>Revenue Per Share (TTM)</v>
      </c>
      <c r="H260" t="str">
        <v>10,209.09</v>
      </c>
    </row>
    <row r="261">
      <c r="B261" t="str">
        <v>Cash Per Share (Quarter)</v>
      </c>
      <c r="C261" t="str">
        <v>1,996.23</v>
      </c>
    </row>
    <row r="262">
      <c r="B262" t="str">
        <v>Current Book Value Per Share</v>
      </c>
      <c r="H262" t="str">
        <v>7,584.86</v>
      </c>
    </row>
    <row r="263">
      <c r="B263" t="str">
        <v>Free Cashflow Per Share (TTM)</v>
      </c>
      <c r="H263" t="str">
        <v>547.52</v>
      </c>
    </row>
    <row r="264">
      <c r="B264" t="str">
        <v>Current Ratio (Quarter)</v>
      </c>
      <c r="C264" t="str">
        <v>2.10</v>
      </c>
    </row>
    <row r="265">
      <c r="B265" t="str">
        <v>Quick Ratio (Quarter)</v>
      </c>
      <c r="C265" t="str">
        <v>1.93</v>
      </c>
    </row>
    <row r="266">
      <c r="B266" t="str">
        <v>Debt to Equity Ratio (Quarter)</v>
      </c>
      <c r="C266" t="str">
        <v>0.24</v>
      </c>
    </row>
    <row r="267">
      <c r="B267" t="str">
        <v>LT Debt/Equity (Quarter)</v>
      </c>
      <c r="C267" t="str">
        <v>0.23</v>
      </c>
    </row>
    <row r="268">
      <c r="B268" t="str">
        <v>Total Liabilities/Equity (Quarter)</v>
      </c>
      <c r="C268" t="str">
        <v>0.58</v>
      </c>
    </row>
    <row r="269">
      <c r="B269" t="str">
        <v>Total Debt/Total Assets (Quarter)</v>
      </c>
      <c r="C269" t="str">
        <v>0.15</v>
      </c>
    </row>
    <row r="270">
      <c r="B270" t="str">
        <v>Financial Leverage (Quarter)</v>
      </c>
      <c r="C270" t="str">
        <v>1.66</v>
      </c>
    </row>
    <row r="271">
      <c r="B271" t="str">
        <v>Interest Coverage (TTM)</v>
      </c>
      <c r="H271" t="str">
        <v>20.65</v>
      </c>
    </row>
    <row r="272">
      <c r="B272" t="str">
        <v>Free cash flow (Quarter)</v>
      </c>
      <c r="C272" t="str">
        <v>(538 B)</v>
      </c>
    </row>
    <row r="273">
      <c r="B273" t="str">
        <v>Altman Z-Score (Modified)</v>
      </c>
      <c r="H273" t="str">
        <v>4.53</v>
      </c>
    </row>
    <row r="274">
      <c r="B274" t="str">
        <v>Return on Assets (TTM)</v>
      </c>
      <c r="H274" t="str">
        <v>11.94%</v>
      </c>
    </row>
    <row r="275">
      <c r="B275" t="str">
        <v>Return on Equity (TTM)</v>
      </c>
      <c r="H275" t="str">
        <v>19.87%</v>
      </c>
    </row>
    <row r="276">
      <c r="B276" t="str">
        <v>Return on Capital Employed (TTM)</v>
      </c>
      <c r="H276" t="str">
        <v>19.59%</v>
      </c>
    </row>
    <row r="277">
      <c r="B277" t="str">
        <v>Return On Invested Capital (TTM)</v>
      </c>
      <c r="H277" t="str">
        <v>16.57%</v>
      </c>
    </row>
    <row r="278">
      <c r="B278" t="str">
        <v>Days Sales Outstanding (Quarter)</v>
      </c>
      <c r="C278" t="str">
        <v>42.81</v>
      </c>
    </row>
    <row r="279">
      <c r="B279" t="str">
        <v>Days Inventory (Quarter)</v>
      </c>
      <c r="C279" t="str">
        <v>12.99</v>
      </c>
    </row>
    <row r="280">
      <c r="B280" t="str">
        <v>Days Payables Outstanding (Quarter)</v>
      </c>
      <c r="C280" t="str">
        <v>54.99</v>
      </c>
    </row>
    <row r="281">
      <c r="B281" t="str">
        <v>Cash Conversion Cycle (Quarter)</v>
      </c>
      <c r="C281" t="str">
        <v>0.81</v>
      </c>
    </row>
    <row r="282">
      <c r="B282" t="str">
        <v>Receivables Turnover (Quarter)</v>
      </c>
      <c r="C282" t="str">
        <v>2.13</v>
      </c>
    </row>
    <row r="283">
      <c r="B283" t="str">
        <v>Asset Turnover (TTM)</v>
      </c>
      <c r="H283" t="str">
        <v>0.82</v>
      </c>
    </row>
    <row r="284">
      <c r="B284" t="str">
        <v>Inventory Turnover (TTM)</v>
      </c>
      <c r="H284" t="str">
        <v>31.72</v>
      </c>
    </row>
    <row r="285">
      <c r="B285" t="str">
        <v>Market Cap</v>
      </c>
      <c r="H285" t="str">
        <v>67,357 B</v>
      </c>
    </row>
    <row r="286">
      <c r="B286" t="str">
        <v>Enterprise Value</v>
      </c>
      <c r="H286" t="str">
        <v>71,313 B</v>
      </c>
    </row>
    <row r="287">
      <c r="B287" t="str">
        <v>Current Share Outstanding</v>
      </c>
      <c r="H287" t="str">
        <v>7.79 B</v>
      </c>
    </row>
    <row r="288">
      <c r="B288" t="str">
        <v>Free Float</v>
      </c>
      <c r="H288" t="str">
        <v>19.25%</v>
      </c>
    </row>
    <row r="289">
      <c r="B289" t="str">
        <v>Gross Profit Margin (Quarter)</v>
      </c>
      <c r="C289" t="str">
        <v>24.67%</v>
      </c>
    </row>
    <row r="290">
      <c r="B290" t="str">
        <v>Operating Profit Margin (Quarter)</v>
      </c>
      <c r="C290" t="str">
        <v>20.27%</v>
      </c>
    </row>
    <row r="291">
      <c r="B291" t="str">
        <v>Net Profit Margin (Quarter)</v>
      </c>
      <c r="C291" t="str">
        <v>13.70%</v>
      </c>
    </row>
    <row r="292">
      <c r="B292" t="str">
        <v>Revenue (Quarter YoY Growth)</v>
      </c>
      <c r="C292" t="str">
        <v>-7.59%</v>
      </c>
    </row>
    <row r="293">
      <c r="B293" t="str">
        <v>Gross Profit (Quarter YoY Growth)</v>
      </c>
      <c r="C293" t="str">
        <v>-23.60%</v>
      </c>
    </row>
    <row r="294">
      <c r="B294" t="str">
        <v>Net Income (Quarter YoY Growth)</v>
      </c>
      <c r="C294" t="str">
        <v>-24.79%</v>
      </c>
    </row>
    <row r="295">
      <c r="B295" t="str">
        <v>Dividend</v>
      </c>
      <c r="H295" t="str">
        <v>463.32</v>
      </c>
    </row>
    <row r="296">
      <c r="B296" t="str">
        <v>Dividend (TTM)</v>
      </c>
      <c r="H296" t="str">
        <v>1,001.40</v>
      </c>
    </row>
    <row r="297">
      <c r="B297" t="str">
        <v>Payout Ratio</v>
      </c>
      <c r="H297" t="str">
        <v>80.84%</v>
      </c>
    </row>
    <row r="298">
      <c r="B298" t="str">
        <v>Dividend Yield</v>
      </c>
      <c r="H298" t="str">
        <v>11.58%</v>
      </c>
    </row>
    <row r="299">
      <c r="B299" t="str">
        <v>Latest Dividend Ex-Date</v>
      </c>
      <c r="H299" t="str">
        <v>05 Jun 26</v>
      </c>
    </row>
    <row r="300">
      <c r="B300" t="str">
        <v>Piotroski F-Score</v>
      </c>
      <c r="H300" t="str">
        <v>4.00</v>
      </c>
    </row>
    <row r="301">
      <c r="B301" t="str">
        <v>Relative Strength Rating</v>
      </c>
      <c r="H301" t="str">
        <v>77.00%</v>
      </c>
    </row>
    <row r="302">
      <c r="B302" t="str">
        <v>Rank (Market Cap)</v>
      </c>
      <c r="H302" t="str">
        <v>97.00%</v>
      </c>
    </row>
    <row r="303">
      <c r="B303" t="str">
        <v>Rank (Current PE Ratio TTM)</v>
      </c>
      <c r="H303" t="str">
        <v>88.00%</v>
      </c>
    </row>
    <row r="304">
      <c r="B304" t="str">
        <v>Rank (P/S)</v>
      </c>
      <c r="H304" t="str">
        <v>62.00%</v>
      </c>
    </row>
    <row r="305">
      <c r="B305" t="str">
        <v>Rank (P/B)</v>
      </c>
      <c r="H305" t="str">
        <v>50.00%</v>
      </c>
    </row>
    <row r="306">
      <c r="B306" t="str">
        <v>Rank (Near 52 Weeks High)</v>
      </c>
      <c r="H306" t="str">
        <v>77.00%</v>
      </c>
    </row>
    <row r="307">
      <c r="B307" t="str">
        <v>Revenue (TTM)</v>
      </c>
      <c r="H307" t="str">
        <v>79,497 B</v>
      </c>
    </row>
    <row r="308">
      <c r="B308" t="str">
        <v>Gross Profit (TTM)</v>
      </c>
      <c r="H308" t="str">
        <v>19,448 B</v>
      </c>
    </row>
    <row r="309">
      <c r="B309" t="str">
        <v>EBITDA (TTM)</v>
      </c>
      <c r="H309" t="str">
        <v>18,043 B</v>
      </c>
    </row>
    <row r="310">
      <c r="B310" t="str">
        <v>Net Income (TTM)</v>
      </c>
      <c r="H310" t="str">
        <v>11,737 B</v>
      </c>
    </row>
    <row r="311">
      <c r="B311" t="str">
        <v>Cash (Quarter)</v>
      </c>
      <c r="C311" t="str">
        <v>15,544 B</v>
      </c>
    </row>
    <row r="312">
      <c r="B312" t="str">
        <v>Total Assets (Quarter)</v>
      </c>
      <c r="C312" t="str">
        <v>98,263 B</v>
      </c>
    </row>
    <row r="313">
      <c r="B313" t="str">
        <v>Total Liabilities (Quarter)</v>
      </c>
      <c r="C313" t="str">
        <v>33,986 B</v>
      </c>
    </row>
    <row r="314">
      <c r="B314" t="str">
        <v>Working Capital (Quarter)</v>
      </c>
      <c r="C314" t="str">
        <v>16,071 B</v>
      </c>
    </row>
    <row r="315">
      <c r="B315" t="str">
        <v>Common Equity</v>
      </c>
      <c r="H315" t="str">
        <v>59,063 B</v>
      </c>
    </row>
    <row r="316">
      <c r="B316" t="str">
        <v>Long-term Debt (Quarter)</v>
      </c>
      <c r="C316" t="str">
        <v>13,427 B</v>
      </c>
    </row>
    <row r="317">
      <c r="B317" t="str">
        <v>Short-term Debt (Quarter)</v>
      </c>
      <c r="C317" t="str">
        <v>860 B</v>
      </c>
    </row>
    <row r="318">
      <c r="B318" t="str">
        <v>Total Debt (Quarter)</v>
      </c>
      <c r="C318" t="str">
        <v>14,286 B</v>
      </c>
    </row>
    <row r="319">
      <c r="B319" t="str">
        <v>Net Debt (Quarter)</v>
      </c>
      <c r="C319" t="str">
        <v>(1,258 B)</v>
      </c>
    </row>
    <row r="320">
      <c r="B320" t="str">
        <v>Total Equity</v>
      </c>
      <c r="H320" t="str">
        <v>64,277 B</v>
      </c>
    </row>
    <row r="321">
      <c r="B321" t="str">
        <v>Cash From Operations (TTM)</v>
      </c>
      <c r="H321" t="str">
        <v>9,725 B</v>
      </c>
    </row>
    <row r="322">
      <c r="B322" t="str">
        <v>Cash From Investing (TTM)</v>
      </c>
      <c r="H322" t="str">
        <v>(6,075 B)</v>
      </c>
    </row>
    <row r="323">
      <c r="B323" t="str">
        <v>Cash From Financing (TTM)</v>
      </c>
      <c r="H323" t="str">
        <v>(10,994 B)</v>
      </c>
    </row>
    <row r="324">
      <c r="B324" t="str">
        <v>Capital expenditure (TTM)</v>
      </c>
      <c r="H324" t="str">
        <v>(5,462 B)</v>
      </c>
    </row>
    <row r="325">
      <c r="B325" t="str">
        <v>Free cash flow (TTM)</v>
      </c>
      <c r="H325" t="str">
        <v>4,263 B</v>
      </c>
    </row>
  </sheetData>
  <ignoredErrors>
    <ignoredError numberStoredAsText="1" sqref="A1:M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06"/>
  <sheetViews>
    <sheetView workbookViewId="0"/>
  </sheetViews>
  <cols>
    <col min="1" max="1" width="38.83203125" customWidth="1"/>
    <col min="2" max="2" width="28.83203125" customWidth="1"/>
    <col min="3" max="3" width="3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</cols>
  <sheetData>
    <row r="1">
      <c r="C1" t="str">
        <v>AALI</v>
      </c>
      <c r="D1" t="str">
        <v>Q1</v>
      </c>
      <c r="H1" t="str">
        <v>tahun Berjalan</v>
      </c>
      <c r="I1" s="1">
        <v>45656</v>
      </c>
      <c r="J1" s="1">
        <v>45290</v>
      </c>
      <c r="K1" s="1">
        <v>44925</v>
      </c>
      <c r="L1" s="1">
        <v>44560</v>
      </c>
      <c r="M1" s="1">
        <v>44195</v>
      </c>
      <c r="N1" s="1">
        <v>43829</v>
      </c>
      <c r="O1" s="1">
        <v>43464</v>
      </c>
      <c r="P1" s="1">
        <v>43099</v>
      </c>
      <c r="Q1" s="1">
        <v>42734</v>
      </c>
      <c r="R1" s="1">
        <v>42368</v>
      </c>
      <c r="S1" s="1">
        <v>42003</v>
      </c>
      <c r="T1" s="1">
        <v>41638</v>
      </c>
      <c r="U1" s="1">
        <v>41273</v>
      </c>
      <c r="V1" s="1">
        <v>40907</v>
      </c>
      <c r="W1" s="1">
        <v>40542</v>
      </c>
      <c r="X1" s="1">
        <v>40177</v>
      </c>
      <c r="Y1" s="1">
        <v>39812</v>
      </c>
      <c r="Z1" s="1">
        <v>39446</v>
      </c>
    </row>
    <row r="2">
      <c r="C2" t="str">
        <v>#VALUE!</v>
      </c>
      <c r="D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>
      <c r="D3" t="str">
        <v>Apr 2026</v>
      </c>
    </row>
    <row r="4">
      <c r="B4" t="str">
        <v>LABA KOTOR</v>
      </c>
      <c r="C4" t="str">
        <v>Total Pendapatan</v>
      </c>
      <c r="D4" s="2">
        <f>IFERROR(INDEX(C51:C500,MATCH($C$4,$B$51:$B$500,0)),"")</f>
        <v>0</v>
      </c>
      <c r="H4" s="2">
        <f>IFERROR(SUM(D4:G4)*(4/MAX(1,COUNT(D4:G4))),=IFERROR(INDEX(H51:H500,MATCH($C$4,$B$51:$B$500,0)),""))</f>
        <v>0</v>
      </c>
      <c r="I4" s="2">
        <f>IFERROR(INDEX(I51:I500,MATCH($C$4,$B$51:$B$500,0)),"")</f>
        <v>0</v>
      </c>
      <c r="J4" s="2">
        <f>IFERROR(INDEX(J51:J500,MATCH($C$4,$B$51:$B$500,0)),"")</f>
        <v>0</v>
      </c>
      <c r="K4" s="2">
        <f>IFERROR(INDEX(K51:K500,MATCH($C$4,$B$51:$B$500,0)),"")</f>
        <v>0</v>
      </c>
      <c r="L4" s="2">
        <f>IFERROR(INDEX(L51:L500,MATCH($C$4,$B$51:$B$500,0)),"")</f>
        <v>0</v>
      </c>
      <c r="M4" s="2">
        <f>IFERROR(INDEX(M51:M500,MATCH($C$4,$B$51:$B$500,0)),"")</f>
        <v>0</v>
      </c>
      <c r="N4" s="2">
        <f>IFERROR(INDEX(N51:N500,MATCH($C$4,$B$51:$B$500,0)),"")</f>
        <v>0</v>
      </c>
      <c r="O4" s="2">
        <f>IFERROR(INDEX(O51:O500,MATCH($C$4,$B$51:$B$500,0)),"")</f>
        <v>0</v>
      </c>
      <c r="P4" s="2">
        <f>IFERROR(INDEX(P51:P500,MATCH($C$4,$B$51:$B$500,0)),"")</f>
        <v>0</v>
      </c>
      <c r="Q4" s="2">
        <f>IFERROR(INDEX(Q51:Q500,MATCH($C$4,$B$51:$B$500,0)),"")</f>
        <v>0</v>
      </c>
      <c r="R4" s="2">
        <f>IFERROR(INDEX(R51:R500,MATCH($C$4,$B$51:$B$500,0)),"")</f>
        <v>0</v>
      </c>
      <c r="S4" s="2">
        <f>IFERROR(INDEX(S51:S500,MATCH($C$4,$B$51:$B$500,0)),"")</f>
        <v>0</v>
      </c>
      <c r="T4" s="2">
        <f>IFERROR(INDEX(T51:T500,MATCH($C$4,$B$51:$B$500,0)),"")</f>
        <v>0</v>
      </c>
      <c r="U4" s="2">
        <f>IFERROR(INDEX(U51:U500,MATCH($C$4,$B$51:$B$500,0)),"")</f>
        <v>0</v>
      </c>
      <c r="V4" s="2">
        <f>IFERROR(INDEX(V51:V500,MATCH($C$4,$B$51:$B$500,0)),"")</f>
        <v>0</v>
      </c>
      <c r="W4" s="2">
        <f>IFERROR(INDEX(W51:W500,MATCH($C$4,$B$51:$B$500,0)),"")</f>
        <v>0</v>
      </c>
      <c r="X4" s="2">
        <f>IFERROR(INDEX(X51:X500,MATCH($C$4,$B$51:$B$500,0)),"")</f>
        <v>0</v>
      </c>
      <c r="Y4" s="2">
        <f>IFERROR(INDEX(Y51:Y500,MATCH($C$4,$B$51:$B$500,0)),"")</f>
        <v>0</v>
      </c>
      <c r="Z4" s="2">
        <f>IFERROR(INDEX(Z51:Z500,MATCH($C$4,$B$51:$B$500,0)),"")</f>
        <v>0</v>
      </c>
    </row>
    <row r="5">
      <c r="B5" t="str">
        <v>BERSIH</v>
      </c>
      <c r="C5" t="str">
        <v>Pemilik Entitas Induk</v>
      </c>
      <c r="D5" s="2">
        <f>IFERROR(INDEX(C51:C500,MATCH($C$5,$B$51:$B$500,0)),"")</f>
        <v>0</v>
      </c>
      <c r="H5" s="2">
        <f>IFERROR(SUM(D5:G5)*(4/MAX(1,COUNT(D5:G5))),=IFERROR(INDEX(H51:H500,MATCH($C$5,$B$51:$B$500,0)),""))</f>
        <v>0</v>
      </c>
      <c r="I5" s="2">
        <f>IFERROR(INDEX(I51:I500,MATCH($C$5,$B$51:$B$500,0)),"")</f>
        <v>0</v>
      </c>
      <c r="J5" s="2">
        <f>IFERROR(INDEX(J51:J500,MATCH($C$5,$B$51:$B$500,0)),"")</f>
        <v>0</v>
      </c>
      <c r="K5" s="2">
        <f>IFERROR(INDEX(K51:K500,MATCH($C$5,$B$51:$B$500,0)),"")</f>
        <v>0</v>
      </c>
      <c r="L5" s="2">
        <f>IFERROR(INDEX(L51:L500,MATCH($C$5,$B$51:$B$500,0)),"")</f>
        <v>0</v>
      </c>
      <c r="M5" s="2">
        <f>IFERROR(INDEX(M51:M500,MATCH($C$5,$B$51:$B$500,0)),"")</f>
        <v>0</v>
      </c>
      <c r="N5" s="2">
        <f>IFERROR(INDEX(N51:N500,MATCH($C$5,$B$51:$B$500,0)),"")</f>
        <v>0</v>
      </c>
      <c r="O5" s="2">
        <f>IFERROR(INDEX(O51:O500,MATCH($C$5,$B$51:$B$500,0)),"")</f>
        <v>0</v>
      </c>
      <c r="P5" s="2">
        <f>IFERROR(INDEX(P51:P500,MATCH($C$5,$B$51:$B$500,0)),"")</f>
        <v>0</v>
      </c>
      <c r="Q5" s="2">
        <f>IFERROR(INDEX(Q51:Q500,MATCH($C$5,$B$51:$B$500,0)),"")</f>
        <v>0</v>
      </c>
      <c r="R5" s="2">
        <f>IFERROR(INDEX(R51:R500,MATCH($C$5,$B$51:$B$500,0)),"")</f>
        <v>0</v>
      </c>
      <c r="S5" s="2">
        <f>IFERROR(INDEX(S51:S500,MATCH($C$5,$B$51:$B$500,0)),"")</f>
        <v>0</v>
      </c>
      <c r="T5" s="2">
        <f>IFERROR(INDEX(T51:T500,MATCH($C$5,$B$51:$B$500,0)),"")</f>
        <v>0</v>
      </c>
      <c r="U5" s="2">
        <f>IFERROR(INDEX(U51:U500,MATCH($C$5,$B$51:$B$500,0)),"")</f>
        <v>0</v>
      </c>
      <c r="V5" s="2">
        <f>IFERROR(INDEX(V51:V500,MATCH($C$5,$B$51:$B$500,0)),"")</f>
        <v>0</v>
      </c>
      <c r="W5" s="2">
        <f>IFERROR(INDEX(W51:W500,MATCH($C$5,$B$51:$B$500,0)),"")</f>
        <v>0</v>
      </c>
      <c r="X5" s="2">
        <f>IFERROR(INDEX(X51:X500,MATCH($C$5,$B$51:$B$500,0)),"")</f>
        <v>0</v>
      </c>
      <c r="Y5" s="2">
        <f>IFERROR(INDEX(Y51:Y500,MATCH($C$5,$B$51:$B$500,0)),"")</f>
        <v>0</v>
      </c>
      <c r="Z5" s="2">
        <f>IFERROR(INDEX(Z51:Z500,MATCH($C$5,$B$51:$B$500,0)),"")</f>
        <v>0</v>
      </c>
    </row>
    <row r="6">
      <c r="B6" t="str">
        <v>EQUITY</v>
      </c>
      <c r="C6" t="str">
        <v>Total Ekuitas</v>
      </c>
      <c r="D6" s="2">
        <f>IFERROR(INDEX(C51:C500,MATCH($C$6,$B$51:$B$500,0)),"")</f>
        <v>0</v>
      </c>
      <c r="H6" s="2">
        <f>IFERROR(INDEX(H51:H500,MATCH($C$6,$B$51:$B$500,0)),"")</f>
        <v>0</v>
      </c>
      <c r="I6" s="2">
        <f>IFERROR(INDEX(I51:I500,MATCH($C$6,$B$51:$B$500,0)),"")</f>
        <v>0</v>
      </c>
      <c r="J6" s="2">
        <f>IFERROR(INDEX(J51:J500,MATCH($C$6,$B$51:$B$500,0)),"")</f>
        <v>0</v>
      </c>
      <c r="K6" s="2">
        <f>IFERROR(INDEX(K51:K500,MATCH($C$6,$B$51:$B$500,0)),"")</f>
        <v>0</v>
      </c>
      <c r="L6" s="2">
        <f>IFERROR(INDEX(L51:L500,MATCH($C$6,$B$51:$B$500,0)),"")</f>
        <v>0</v>
      </c>
      <c r="M6" s="2">
        <f>IFERROR(INDEX(M51:M500,MATCH($C$6,$B$51:$B$500,0)),"")</f>
        <v>0</v>
      </c>
      <c r="N6" s="2">
        <f>IFERROR(INDEX(N51:N500,MATCH($C$6,$B$51:$B$500,0)),"")</f>
        <v>0</v>
      </c>
      <c r="O6" s="2">
        <f>IFERROR(INDEX(O51:O500,MATCH($C$6,$B$51:$B$500,0)),"")</f>
        <v>0</v>
      </c>
      <c r="P6" s="2">
        <f>IFERROR(INDEX(P51:P500,MATCH($C$6,$B$51:$B$500,0)),"")</f>
        <v>0</v>
      </c>
      <c r="Q6" s="2">
        <f>IFERROR(INDEX(Q51:Q500,MATCH($C$6,$B$51:$B$500,0)),"")</f>
        <v>0</v>
      </c>
      <c r="R6" s="2">
        <f>IFERROR(INDEX(R51:R500,MATCH($C$6,$B$51:$B$500,0)),"")</f>
        <v>0</v>
      </c>
      <c r="S6" s="2">
        <f>IFERROR(INDEX(S51:S500,MATCH($C$6,$B$51:$B$500,0)),"")</f>
        <v>0</v>
      </c>
      <c r="T6" s="2">
        <f>IFERROR(INDEX(T51:T500,MATCH($C$6,$B$51:$B$500,0)),"")</f>
        <v>0</v>
      </c>
      <c r="U6" s="2">
        <f>IFERROR(INDEX(U51:U500,MATCH($C$6,$B$51:$B$500,0)),"")</f>
        <v>0</v>
      </c>
      <c r="V6" s="2">
        <f>IFERROR(INDEX(V51:V500,MATCH($C$6,$B$51:$B$500,0)),"")</f>
        <v>0</v>
      </c>
      <c r="W6" s="2">
        <f>IFERROR(INDEX(W51:W500,MATCH($C$6,$B$51:$B$500,0)),"")</f>
        <v>0</v>
      </c>
      <c r="X6" s="2">
        <f>IFERROR(INDEX(X51:X500,MATCH($C$6,$B$51:$B$500,0)),"")</f>
        <v>0</v>
      </c>
      <c r="Y6" s="2">
        <f>IFERROR(INDEX(Y51:Y500,MATCH($C$6,$B$51:$B$500,0)),"")</f>
        <v>0</v>
      </c>
      <c r="Z6" s="2">
        <f>IFERROR(INDEX(Z51:Z500,MATCH($C$6,$B$51:$B$500,0)),"")</f>
        <v>0</v>
      </c>
    </row>
    <row r="7">
      <c r="B7" t="str">
        <v>SAHAM BEREDAR</v>
      </c>
      <c r="C7" t="str">
        <v>Share Outstanding</v>
      </c>
      <c r="D7" s="2">
        <f>IFERROR(INDEX(C51:C500,MATCH("Share Outstanding",$B$51:$B$500,0)),IFERROR(INDEX(C51:C500,MATCH($C$7,$B$51:$B$500,0)),""))</f>
        <v>0</v>
      </c>
      <c r="H7" s="2">
        <f>IFERROR(INDEX(H51:H500,MATCH($C$7,$B$51:$B$500,0)),"")</f>
        <v>0</v>
      </c>
      <c r="I7" s="2">
        <f>IFERROR(INDEX(I51:I500,MATCH($C$7,$B$51:$B$500,0)),"")</f>
        <v>0</v>
      </c>
      <c r="J7" s="2">
        <f>IFERROR(INDEX(J51:J500,MATCH($C$7,$B$51:$B$500,0)),"")</f>
        <v>0</v>
      </c>
      <c r="K7" s="2">
        <f>IFERROR(INDEX(K51:K500,MATCH($C$7,$B$51:$B$500,0)),"")</f>
        <v>0</v>
      </c>
      <c r="L7" s="2">
        <f>IFERROR(INDEX(L51:L500,MATCH($C$7,$B$51:$B$500,0)),"")</f>
        <v>0</v>
      </c>
      <c r="M7" s="2">
        <f>IFERROR(INDEX(M51:M500,MATCH($C$7,$B$51:$B$500,0)),"")</f>
        <v>0</v>
      </c>
      <c r="N7" s="2">
        <f>IFERROR(INDEX(N51:N500,MATCH($C$7,$B$51:$B$500,0)),"")</f>
        <v>0</v>
      </c>
      <c r="O7" s="2">
        <f>IFERROR(INDEX(O51:O500,MATCH($C$7,$B$51:$B$500,0)),"")</f>
        <v>0</v>
      </c>
      <c r="P7" s="2">
        <f>IFERROR(INDEX(P51:P500,MATCH($C$7,$B$51:$B$500,0)),"")</f>
        <v>0</v>
      </c>
      <c r="Q7" s="2">
        <f>IFERROR(INDEX(Q51:Q500,MATCH($C$7,$B$51:$B$500,0)),"")</f>
        <v>0</v>
      </c>
      <c r="R7" s="2">
        <f>IFERROR(INDEX(R51:R500,MATCH($C$7,$B$51:$B$500,0)),"")</f>
        <v>0</v>
      </c>
      <c r="S7" s="2">
        <f>IFERROR(INDEX(S51:S500,MATCH($C$7,$B$51:$B$500,0)),"")</f>
        <v>0</v>
      </c>
      <c r="T7" s="2">
        <f>IFERROR(INDEX(T51:T500,MATCH($C$7,$B$51:$B$500,0)),"")</f>
        <v>0</v>
      </c>
      <c r="U7" s="2">
        <f>IFERROR(INDEX(U51:U500,MATCH($C$7,$B$51:$B$500,0)),"")</f>
        <v>0</v>
      </c>
      <c r="V7" s="2">
        <f>IFERROR(INDEX(V51:V500,MATCH($C$7,$B$51:$B$500,0)),"")</f>
        <v>0</v>
      </c>
      <c r="W7" s="2">
        <f>IFERROR(INDEX(W51:W500,MATCH($C$7,$B$51:$B$500,0)),"")</f>
        <v>0</v>
      </c>
      <c r="X7" s="2">
        <f>IFERROR(INDEX(X51:X500,MATCH($C$7,$B$51:$B$500,0)),"")</f>
        <v>0</v>
      </c>
      <c r="Y7" s="2">
        <f>IFERROR(INDEX(Y51:Y500,MATCH($C$7,$B$51:$B$500,0)),"")</f>
        <v>0</v>
      </c>
      <c r="Z7" s="2">
        <f>IFERROR(INDEX(Z51:Z500,MATCH($C$7,$B$51:$B$500,0)),"")</f>
        <v>0</v>
      </c>
    </row>
    <row r="8">
      <c r="A8" t="str">
        <v>Free cash flow (Quarter)</v>
      </c>
      <c r="B8" t="str">
        <v>FCF</v>
      </c>
      <c r="C8" t="str">
        <v>Free cash flow (Annual)</v>
      </c>
      <c r="D8" s="2">
        <f>IFERROR(INDEX(C51:C500,MATCH("Free cash flow (Quarter)",$B$51:$B$500,0)),"")</f>
        <v>0</v>
      </c>
      <c r="H8" s="2">
        <f>IFERROR(INDEX(H51:H500,MATCH($C$8,$B$51:$B$500,0)),"")</f>
        <v>0</v>
      </c>
      <c r="I8" s="2">
        <f>IFERROR(INDEX(I51:I500,MATCH($C$8,$B$51:$B$500,0)),"")</f>
        <v>0</v>
      </c>
      <c r="J8" s="2">
        <f>IFERROR(INDEX(J51:J500,MATCH($C$8,$B$51:$B$500,0)),"")</f>
        <v>0</v>
      </c>
      <c r="K8" s="2">
        <f>IFERROR(INDEX(K51:K500,MATCH($C$8,$B$51:$B$500,0)),"")</f>
        <v>0</v>
      </c>
      <c r="L8" s="2">
        <f>IFERROR(INDEX(L51:L500,MATCH($C$8,$B$51:$B$500,0)),"")</f>
        <v>0</v>
      </c>
      <c r="M8" s="2">
        <f>IFERROR(INDEX(M51:M500,MATCH($C$8,$B$51:$B$500,0)),"")</f>
        <v>0</v>
      </c>
      <c r="N8" s="2">
        <f>IFERROR(INDEX(N51:N500,MATCH($C$8,$B$51:$B$500,0)),"")</f>
        <v>0</v>
      </c>
      <c r="O8" s="2">
        <f>IFERROR(INDEX(O51:O500,MATCH($C$8,$B$51:$B$500,0)),"")</f>
        <v>0</v>
      </c>
      <c r="P8" s="2">
        <f>IFERROR(INDEX(P51:P500,MATCH($C$8,$B$51:$B$500,0)),"")</f>
        <v>0</v>
      </c>
      <c r="Q8" s="2">
        <f>IFERROR(INDEX(Q51:Q500,MATCH($C$8,$B$51:$B$500,0)),"")</f>
        <v>0</v>
      </c>
      <c r="R8" s="2">
        <f>IFERROR(INDEX(R51:R500,MATCH($C$8,$B$51:$B$500,0)),"")</f>
        <v>0</v>
      </c>
      <c r="S8" s="2">
        <f>IFERROR(INDEX(S51:S500,MATCH($C$8,$B$51:$B$500,0)),"")</f>
        <v>0</v>
      </c>
      <c r="T8" s="2">
        <f>IFERROR(INDEX(T51:T500,MATCH($C$8,$B$51:$B$500,0)),"")</f>
        <v>0</v>
      </c>
      <c r="U8" s="2">
        <f>IFERROR(INDEX(U51:U500,MATCH($C$8,$B$51:$B$500,0)),"")</f>
        <v>0</v>
      </c>
      <c r="V8" s="2">
        <f>IFERROR(INDEX(V51:V500,MATCH($C$8,$B$51:$B$500,0)),"")</f>
        <v>0</v>
      </c>
      <c r="W8" s="2">
        <f>IFERROR(INDEX(W51:W500,MATCH($C$8,$B$51:$B$500,0)),"")</f>
        <v>0</v>
      </c>
      <c r="X8" s="2">
        <f>IFERROR(INDEX(X51:X500,MATCH($C$8,$B$51:$B$500,0)),"")</f>
        <v>0</v>
      </c>
      <c r="Y8" s="2">
        <f>IFERROR(INDEX(Y51:Y500,MATCH($C$8,$B$51:$B$500,0)),"")</f>
        <v>0</v>
      </c>
      <c r="Z8" s="2">
        <f>IFERROR(INDEX(Z51:Z500,MATCH($C$8,$B$51:$B$500,0)),"")</f>
        <v>0</v>
      </c>
    </row>
    <row r="9">
      <c r="A9" t="str">
        <v>Free cash flow per share (Quarter)</v>
      </c>
      <c r="C9" t="str">
        <v>Free cash flow per share (Annual)</v>
      </c>
      <c r="D9" s="2">
        <f>IFERROR(INDEX(C51:C500,MATCH("Free cash flow per share (Quarter)",$B$51:$B$500,0)),"")</f>
        <v>0</v>
      </c>
      <c r="H9" s="2">
        <f>IFERROR(INDEX(H51:H500,MATCH($C$9,$B$51:$B$500,0)),"")</f>
        <v>0</v>
      </c>
      <c r="I9" s="2">
        <f>IFERROR(INDEX(I51:I500,MATCH($C$9,$B$51:$B$500,0)),"")</f>
        <v>0</v>
      </c>
      <c r="J9" s="2">
        <f>IFERROR(INDEX(J51:J500,MATCH($C$9,$B$51:$B$500,0)),"")</f>
        <v>0</v>
      </c>
      <c r="K9" s="2">
        <f>IFERROR(INDEX(K51:K500,MATCH($C$9,$B$51:$B$500,0)),"")</f>
        <v>0</v>
      </c>
      <c r="L9" s="2">
        <f>IFERROR(INDEX(L51:L500,MATCH($C$9,$B$51:$B$500,0)),"")</f>
        <v>0</v>
      </c>
      <c r="M9" s="2">
        <f>IFERROR(INDEX(M51:M500,MATCH($C$9,$B$51:$B$500,0)),"")</f>
        <v>0</v>
      </c>
      <c r="N9" s="2">
        <f>IFERROR(INDEX(N51:N500,MATCH($C$9,$B$51:$B$500,0)),"")</f>
        <v>0</v>
      </c>
      <c r="O9" s="2">
        <f>IFERROR(INDEX(O51:O500,MATCH($C$9,$B$51:$B$500,0)),"")</f>
        <v>0</v>
      </c>
      <c r="P9" s="2">
        <f>IFERROR(INDEX(P51:P500,MATCH($C$9,$B$51:$B$500,0)),"")</f>
        <v>0</v>
      </c>
      <c r="Q9" s="2">
        <f>IFERROR(INDEX(Q51:Q500,MATCH($C$9,$B$51:$B$500,0)),"")</f>
        <v>0</v>
      </c>
      <c r="R9" s="2">
        <f>IFERROR(INDEX(R51:R500,MATCH($C$9,$B$51:$B$500,0)),"")</f>
        <v>0</v>
      </c>
      <c r="S9" s="2">
        <f>IFERROR(INDEX(S51:S500,MATCH($C$9,$B$51:$B$500,0)),"")</f>
        <v>0</v>
      </c>
      <c r="T9" s="2">
        <f>IFERROR(INDEX(T51:T500,MATCH($C$9,$B$51:$B$500,0)),"")</f>
        <v>0</v>
      </c>
      <c r="U9" s="2">
        <f>IFERROR(INDEX(U51:U500,MATCH($C$9,$B$51:$B$500,0)),"")</f>
        <v>0</v>
      </c>
      <c r="V9" s="2">
        <f>IFERROR(INDEX(V51:V500,MATCH($C$9,$B$51:$B$500,0)),"")</f>
        <v>0</v>
      </c>
      <c r="W9" s="2">
        <f>IFERROR(INDEX(W51:W500,MATCH($C$9,$B$51:$B$500,0)),"")</f>
        <v>0</v>
      </c>
      <c r="X9" s="2">
        <f>IFERROR(INDEX(X51:X500,MATCH($C$9,$B$51:$B$500,0)),"")</f>
        <v>0</v>
      </c>
      <c r="Y9" s="2">
        <f>IFERROR(INDEX(Y51:Y500,MATCH($C$9,$B$51:$B$500,0)),"")</f>
        <v>0</v>
      </c>
      <c r="Z9" s="2">
        <f>IFERROR(INDEX(Z51:Z500,MATCH($C$9,$B$51:$B$500,0)),"")</f>
        <v>0</v>
      </c>
    </row>
    <row r="10">
      <c r="C10" t="str">
        <v>Price to Free Cash Flow (P/FCF)</v>
      </c>
      <c r="D10" s="2">
        <f>IFERROR(IF(D9=0,"",D2/D9),"")</f>
        <v>0</v>
      </c>
      <c r="I10" s="2">
        <f>IFERROR(IF(I9=0,"",I2/I9),"")</f>
        <v>0</v>
      </c>
      <c r="J10" s="2">
        <f>IFERROR(IF(J9=0,"",J2/J9),"")</f>
        <v>0</v>
      </c>
      <c r="K10" s="2">
        <f>IFERROR(IF(K9=0,"",K2/K9),"")</f>
        <v>0</v>
      </c>
      <c r="L10" s="2">
        <f>IFERROR(IF(L9=0,"",L2/L9),"")</f>
        <v>0</v>
      </c>
      <c r="M10" s="2">
        <f>IFERROR(IF(M9=0,"",M2/M9),"")</f>
        <v>0</v>
      </c>
      <c r="N10" s="2">
        <f>IFERROR(IF(N9=0,"",N2/N9),"")</f>
        <v>0</v>
      </c>
      <c r="O10" s="2">
        <f>IFERROR(IF(O9=0,"",O2/O9),"")</f>
        <v>0</v>
      </c>
      <c r="P10" s="2">
        <f>IFERROR(IF(P9=0,"",P2/P9),"")</f>
        <v>0</v>
      </c>
      <c r="Q10" s="2">
        <f>IFERROR(IF(Q9=0,"",Q2/Q9),"")</f>
        <v>0</v>
      </c>
      <c r="R10" s="2">
        <f>IFERROR(IF(R9=0,"",R2/R9),"")</f>
        <v>0</v>
      </c>
      <c r="S10" s="2">
        <f>IFERROR(IF(S9=0,"",S2/S9),"")</f>
        <v>0</v>
      </c>
      <c r="T10" s="2">
        <f>IFERROR(IF(T9=0,"",T2/T9),"")</f>
        <v>0</v>
      </c>
      <c r="U10" s="2">
        <f>IFERROR(IF(U9=0,"",U2/U9),"")</f>
        <v>0</v>
      </c>
      <c r="V10" s="2">
        <f>IFERROR(IF(V9=0,"",V2/V9),"")</f>
        <v>0</v>
      </c>
      <c r="W10" s="2">
        <f>IFERROR(IF(W9=0,"",W2/W9),"")</f>
        <v>0</v>
      </c>
      <c r="X10" s="2">
        <f>IFERROR(IF(X9=0,"",X2/X9),"")</f>
        <v>0</v>
      </c>
      <c r="Y10" s="2">
        <f>IFERROR(IF(Y9=0,"",Y2/Y9),"")</f>
        <v>0</v>
      </c>
      <c r="Z10" s="2">
        <f>IFERROR(IF(Z9=0,"",Z2/Z9),"")</f>
        <v>0</v>
      </c>
    </row>
    <row r="11">
      <c r="B11" t="str">
        <v>Total Kas</v>
      </c>
      <c r="C11" t="str">
        <v>Kas Dan Setara Kas</v>
      </c>
      <c r="D11" s="2">
        <f>IFERROR(INDEX(C51:C500,MATCH($C$11,$B$51:$B$500,0)),"")</f>
        <v>0</v>
      </c>
      <c r="H11" s="2">
        <f>IFERROR(INDEX(H51:H500,MATCH($C$11,$B$51:$B$500,0)),"")</f>
        <v>0</v>
      </c>
      <c r="I11" s="2">
        <f>IFERROR(INDEX(I51:I500,MATCH($C$11,$B$51:$B$500,0)),"")</f>
        <v>0</v>
      </c>
      <c r="J11" s="2">
        <f>IFERROR(INDEX(J51:J500,MATCH($C$11,$B$51:$B$500,0)),"")</f>
        <v>0</v>
      </c>
      <c r="K11" s="2">
        <f>IFERROR(INDEX(K51:K500,MATCH($C$11,$B$51:$B$500,0)),"")</f>
        <v>0</v>
      </c>
      <c r="L11" s="2">
        <f>IFERROR(INDEX(L51:L500,MATCH($C$11,$B$51:$B$500,0)),"")</f>
        <v>0</v>
      </c>
      <c r="M11" s="2">
        <f>IFERROR(INDEX(M51:M500,MATCH($C$11,$B$51:$B$500,0)),"")</f>
        <v>0</v>
      </c>
      <c r="N11" s="2">
        <f>IFERROR(INDEX(N51:N500,MATCH($C$11,$B$51:$B$500,0)),"")</f>
        <v>0</v>
      </c>
      <c r="O11" s="2">
        <f>IFERROR(INDEX(O51:O500,MATCH($C$11,$B$51:$B$500,0)),"")</f>
        <v>0</v>
      </c>
      <c r="P11" s="2">
        <f>IFERROR(INDEX(P51:P500,MATCH($C$11,$B$51:$B$500,0)),"")</f>
        <v>0</v>
      </c>
      <c r="Q11" s="2">
        <f>IFERROR(INDEX(Q51:Q500,MATCH($C$11,$B$51:$B$500,0)),"")</f>
        <v>0</v>
      </c>
      <c r="R11" s="2">
        <f>IFERROR(INDEX(R51:R500,MATCH($C$11,$B$51:$B$500,0)),"")</f>
        <v>0</v>
      </c>
      <c r="S11" s="2">
        <f>IFERROR(INDEX(S51:S500,MATCH($C$11,$B$51:$B$500,0)),"")</f>
        <v>0</v>
      </c>
      <c r="T11" s="2">
        <f>IFERROR(INDEX(T51:T500,MATCH($C$11,$B$51:$B$500,0)),"")</f>
        <v>0</v>
      </c>
      <c r="U11" s="2">
        <f>IFERROR(INDEX(U51:U500,MATCH($C$11,$B$51:$B$500,0)),"")</f>
        <v>0</v>
      </c>
      <c r="V11" s="2">
        <f>IFERROR(INDEX(V51:V500,MATCH($C$11,$B$51:$B$500,0)),"")</f>
        <v>0</v>
      </c>
      <c r="W11" s="2">
        <f>IFERROR(INDEX(W51:W500,MATCH($C$11,$B$51:$B$500,0)),"")</f>
        <v>0</v>
      </c>
      <c r="X11" s="2">
        <f>IFERROR(INDEX(X51:X500,MATCH($C$11,$B$51:$B$500,0)),"")</f>
        <v>0</v>
      </c>
      <c r="Y11" s="2">
        <f>IFERROR(INDEX(Y51:Y500,MATCH($C$11,$B$51:$B$500,0)),"")</f>
        <v>0</v>
      </c>
      <c r="Z11" s="2">
        <f>IFERROR(INDEX(Z51:Z500,MATCH($C$11,$B$51:$B$500,0)),"")</f>
        <v>0</v>
      </c>
    </row>
    <row r="12">
      <c r="A12" t="str">
        <v>Net Debt (Quarter)</v>
      </c>
      <c r="B12" t="str">
        <v>Net hutang sudah di kurangi kas</v>
      </c>
      <c r="C12" t="str">
        <v>Net Debt (Annual)</v>
      </c>
      <c r="D12" s="2">
        <f>IFERROR(INDEX(C51:C500,MATCH("Net Debt (Quarter)",$B$51:$B$500,0)),"")</f>
        <v>0</v>
      </c>
      <c r="H12" s="2">
        <f>IFERROR(INDEX(H51:H500,MATCH($C$12,$B$51:$B$500,0)),"")</f>
        <v>0</v>
      </c>
      <c r="I12" s="2">
        <f>IFERROR(INDEX(I51:I500,MATCH($C$12,$B$51:$B$500,0)),"")</f>
        <v>0</v>
      </c>
      <c r="J12" s="2">
        <f>IFERROR(INDEX(J51:J500,MATCH($C$12,$B$51:$B$500,0)),"")</f>
        <v>0</v>
      </c>
      <c r="K12" s="2">
        <f>IFERROR(INDEX(K51:K500,MATCH($C$12,$B$51:$B$500,0)),"")</f>
        <v>0</v>
      </c>
      <c r="L12" s="2">
        <f>IFERROR(INDEX(L51:L500,MATCH($C$12,$B$51:$B$500,0)),"")</f>
        <v>0</v>
      </c>
      <c r="M12" s="2">
        <f>IFERROR(INDEX(M51:M500,MATCH($C$12,$B$51:$B$500,0)),"")</f>
        <v>0</v>
      </c>
      <c r="N12" s="2">
        <f>IFERROR(INDEX(N51:N500,MATCH($C$12,$B$51:$B$500,0)),"")</f>
        <v>0</v>
      </c>
      <c r="O12" s="2">
        <f>IFERROR(INDEX(O51:O500,MATCH($C$12,$B$51:$B$500,0)),"")</f>
        <v>0</v>
      </c>
      <c r="P12" s="2">
        <f>IFERROR(INDEX(P51:P500,MATCH($C$12,$B$51:$B$500,0)),"")</f>
        <v>0</v>
      </c>
      <c r="Q12" s="2">
        <f>IFERROR(INDEX(Q51:Q500,MATCH($C$12,$B$51:$B$500,0)),"")</f>
        <v>0</v>
      </c>
      <c r="R12" s="2">
        <f>IFERROR(INDEX(R51:R500,MATCH($C$12,$B$51:$B$500,0)),"")</f>
        <v>0</v>
      </c>
      <c r="S12" s="2">
        <f>IFERROR(INDEX(S51:S500,MATCH($C$12,$B$51:$B$500,0)),"")</f>
        <v>0</v>
      </c>
      <c r="T12" s="2">
        <f>IFERROR(INDEX(T51:T500,MATCH($C$12,$B$51:$B$500,0)),"")</f>
        <v>0</v>
      </c>
      <c r="U12" s="2">
        <f>IFERROR(INDEX(U51:U500,MATCH($C$12,$B$51:$B$500,0)),"")</f>
        <v>0</v>
      </c>
      <c r="V12" s="2">
        <f>IFERROR(INDEX(V51:V500,MATCH($C$12,$B$51:$B$500,0)),"")</f>
        <v>0</v>
      </c>
      <c r="W12" s="2">
        <f>IFERROR(INDEX(W51:W500,MATCH($C$12,$B$51:$B$500,0)),"")</f>
        <v>0</v>
      </c>
      <c r="X12" s="2">
        <f>IFERROR(INDEX(X51:X500,MATCH($C$12,$B$51:$B$500,0)),"")</f>
        <v>0</v>
      </c>
      <c r="Y12" s="2">
        <f>IFERROR(INDEX(Y51:Y500,MATCH($C$12,$B$51:$B$500,0)),"")</f>
        <v>0</v>
      </c>
      <c r="Z12" s="2">
        <f>IFERROR(INDEX(Z51:Z500,MATCH($C$12,$B$51:$B$500,0)),"")</f>
        <v>0</v>
      </c>
    </row>
    <row r="13">
      <c r="A13" t="str">
        <v>Total Debt (Quarter)</v>
      </c>
      <c r="B13" t="str">
        <v>WACC</v>
      </c>
      <c r="C13" t="str">
        <v>Total Debt (Annual)</v>
      </c>
      <c r="D13" s="2">
        <f>IFERROR(INDEX(C51:C500,MATCH("Total Debt (Quarter)",$B$51:$B$500,0)),"")</f>
        <v>0</v>
      </c>
      <c r="H13" s="2">
        <f>IFERROR(INDEX(H51:H500,MATCH($C$13,$B$51:$B$500,0)),"")</f>
        <v>0</v>
      </c>
      <c r="I13" s="2">
        <f>IFERROR(INDEX(I51:I500,MATCH($C$13,$B$51:$B$500,0)),"")</f>
        <v>0</v>
      </c>
      <c r="J13" s="2">
        <f>IFERROR(INDEX(J51:J500,MATCH($C$13,$B$51:$B$500,0)),"")</f>
        <v>0</v>
      </c>
      <c r="K13" s="2">
        <f>IFERROR(INDEX(K51:K500,MATCH($C$13,$B$51:$B$500,0)),"")</f>
        <v>0</v>
      </c>
      <c r="L13" s="2">
        <f>IFERROR(INDEX(L51:L500,MATCH($C$13,$B$51:$B$500,0)),"")</f>
        <v>0</v>
      </c>
      <c r="M13" s="2">
        <f>IFERROR(INDEX(M51:M500,MATCH($C$13,$B$51:$B$500,0)),"")</f>
        <v>0</v>
      </c>
      <c r="N13" s="2">
        <f>IFERROR(INDEX(N51:N500,MATCH($C$13,$B$51:$B$500,0)),"")</f>
        <v>0</v>
      </c>
      <c r="O13" s="2">
        <f>IFERROR(INDEX(O51:O500,MATCH($C$13,$B$51:$B$500,0)),"")</f>
        <v>0</v>
      </c>
      <c r="P13" s="2">
        <f>IFERROR(INDEX(P51:P500,MATCH($C$13,$B$51:$B$500,0)),"")</f>
        <v>0</v>
      </c>
      <c r="Q13" s="2">
        <f>IFERROR(INDEX(Q51:Q500,MATCH($C$13,$B$51:$B$500,0)),"")</f>
        <v>0</v>
      </c>
      <c r="R13" s="2">
        <f>IFERROR(INDEX(R51:R500,MATCH($C$13,$B$51:$B$500,0)),"")</f>
        <v>0</v>
      </c>
      <c r="S13" s="2">
        <f>IFERROR(INDEX(S51:S500,MATCH($C$13,$B$51:$B$500,0)),"")</f>
        <v>0</v>
      </c>
      <c r="T13" s="2">
        <f>IFERROR(INDEX(T51:T500,MATCH($C$13,$B$51:$B$500,0)),"")</f>
        <v>0</v>
      </c>
      <c r="U13" s="2">
        <f>IFERROR(INDEX(U51:U500,MATCH($C$13,$B$51:$B$500,0)),"")</f>
        <v>0</v>
      </c>
      <c r="V13" s="2">
        <f>IFERROR(INDEX(V51:V500,MATCH($C$13,$B$51:$B$500,0)),"")</f>
        <v>0</v>
      </c>
      <c r="W13" s="2">
        <f>IFERROR(INDEX(W51:W500,MATCH($C$13,$B$51:$B$500,0)),"")</f>
        <v>0</v>
      </c>
      <c r="X13" s="2">
        <f>IFERROR(INDEX(X51:X500,MATCH($C$13,$B$51:$B$500,0)),"")</f>
        <v>0</v>
      </c>
      <c r="Y13" s="2">
        <f>IFERROR(INDEX(Y51:Y500,MATCH($C$13,$B$51:$B$500,0)),"")</f>
        <v>0</v>
      </c>
      <c r="Z13" s="2">
        <f>IFERROR(INDEX(Z51:Z500,MATCH($C$13,$B$51:$B$500,0)),"")</f>
        <v>0</v>
      </c>
    </row>
    <row r="14">
      <c r="C14" t="str">
        <v>Beban Keuangan</v>
      </c>
      <c r="D14" s="2">
        <f>IFERROR(INDEX(C51:C500,MATCH($C$14,$B$51:$B$500,0)),"")</f>
        <v>0</v>
      </c>
      <c r="H14" s="2">
        <f>IFERROR(SUM(D14:G14)*(4/MAX(1,COUNT(D14:G14))),=IFERROR(INDEX(H51:H500,MATCH($C$14,$B$51:$B$500,0)),""))</f>
        <v>0</v>
      </c>
      <c r="I14" s="2">
        <f>IFERROR(INDEX(I51:I500,MATCH($C$14,$B$51:$B$500,0)),"")</f>
        <v>0</v>
      </c>
      <c r="J14" s="2">
        <f>IFERROR(INDEX(J51:J500,MATCH($C$14,$B$51:$B$500,0)),"")</f>
        <v>0</v>
      </c>
      <c r="K14" s="2">
        <f>IFERROR(INDEX(K51:K500,MATCH($C$14,$B$51:$B$500,0)),"")</f>
        <v>0</v>
      </c>
      <c r="L14" s="2">
        <f>IFERROR(INDEX(L51:L500,MATCH($C$14,$B$51:$B$500,0)),"")</f>
        <v>0</v>
      </c>
      <c r="M14" s="2">
        <f>IFERROR(INDEX(M51:M500,MATCH($C$14,$B$51:$B$500,0)),"")</f>
        <v>0</v>
      </c>
      <c r="N14" s="2">
        <f>IFERROR(INDEX(N51:N500,MATCH($C$14,$B$51:$B$500,0)),"")</f>
        <v>0</v>
      </c>
      <c r="O14" s="2">
        <f>IFERROR(INDEX(O51:O500,MATCH($C$14,$B$51:$B$500,0)),"")</f>
        <v>0</v>
      </c>
      <c r="P14" s="2">
        <f>IFERROR(INDEX(P51:P500,MATCH($C$14,$B$51:$B$500,0)),"")</f>
        <v>0</v>
      </c>
      <c r="Q14" s="2">
        <f>IFERROR(INDEX(Q51:Q500,MATCH($C$14,$B$51:$B$500,0)),"")</f>
        <v>0</v>
      </c>
      <c r="R14" s="2">
        <f>IFERROR(INDEX(R51:R500,MATCH($C$14,$B$51:$B$500,0)),"")</f>
        <v>0</v>
      </c>
      <c r="S14" s="2">
        <f>IFERROR(INDEX(S51:S500,MATCH($C$14,$B$51:$B$500,0)),"")</f>
        <v>0</v>
      </c>
      <c r="T14" s="2">
        <f>IFERROR(INDEX(T51:T500,MATCH($C$14,$B$51:$B$500,0)),"")</f>
        <v>0</v>
      </c>
      <c r="U14" s="2">
        <f>IFERROR(INDEX(U51:U500,MATCH($C$14,$B$51:$B$500,0)),"")</f>
        <v>0</v>
      </c>
      <c r="V14" s="2">
        <f>IFERROR(INDEX(V51:V500,MATCH($C$14,$B$51:$B$500,0)),"")</f>
        <v>0</v>
      </c>
      <c r="W14" s="2">
        <f>IFERROR(INDEX(W51:W500,MATCH($C$14,$B$51:$B$500,0)),"")</f>
        <v>0</v>
      </c>
      <c r="X14" s="2">
        <f>IFERROR(INDEX(X51:X500,MATCH($C$14,$B$51:$B$500,0)),"")</f>
        <v>0</v>
      </c>
      <c r="Y14" s="2">
        <f>IFERROR(INDEX(Y51:Y500,MATCH($C$14,$B$51:$B$500,0)),"")</f>
        <v>0</v>
      </c>
      <c r="Z14" s="2">
        <f>IFERROR(INDEX(Z51:Z500,MATCH($C$14,$B$51:$B$500,0)),"")</f>
        <v>0</v>
      </c>
    </row>
    <row r="15">
      <c r="C15" t="str">
        <v>Beban Pajak Penghasilan</v>
      </c>
      <c r="D15" s="2">
        <f>IFERROR(INDEX(C51:C500,MATCH($C$15,$B$51:$B$500,0)),"")</f>
        <v>0</v>
      </c>
      <c r="H15" s="2">
        <f>IFERROR(SUM(D15:G15)*(4/MAX(1,COUNT(D15:G15))),=IFERROR(INDEX(H51:H500,MATCH($C$15,$B$51:$B$500,0)),""))</f>
        <v>0</v>
      </c>
      <c r="I15" s="2">
        <f>IFERROR(INDEX(I51:I500,MATCH($C$15,$B$51:$B$500,0)),"")</f>
        <v>0</v>
      </c>
      <c r="J15" s="2">
        <f>IFERROR(INDEX(J51:J500,MATCH($C$15,$B$51:$B$500,0)),"")</f>
        <v>0</v>
      </c>
      <c r="K15" s="2">
        <f>IFERROR(INDEX(K51:K500,MATCH($C$15,$B$51:$B$500,0)),"")</f>
        <v>0</v>
      </c>
      <c r="L15" s="2">
        <f>IFERROR(INDEX(L51:L500,MATCH($C$15,$B$51:$B$500,0)),"")</f>
        <v>0</v>
      </c>
      <c r="M15" s="2">
        <f>IFERROR(INDEX(M51:M500,MATCH($C$15,$B$51:$B$500,0)),"")</f>
        <v>0</v>
      </c>
      <c r="N15" s="2">
        <f>IFERROR(INDEX(N51:N500,MATCH($C$15,$B$51:$B$500,0)),"")</f>
        <v>0</v>
      </c>
      <c r="O15" s="2">
        <f>IFERROR(INDEX(O51:O500,MATCH($C$15,$B$51:$B$500,0)),"")</f>
        <v>0</v>
      </c>
      <c r="P15" s="2">
        <f>IFERROR(INDEX(P51:P500,MATCH($C$15,$B$51:$B$500,0)),"")</f>
        <v>0</v>
      </c>
      <c r="Q15" s="2">
        <f>IFERROR(INDEX(Q51:Q500,MATCH($C$15,$B$51:$B$500,0)),"")</f>
        <v>0</v>
      </c>
      <c r="R15" s="2">
        <f>IFERROR(INDEX(R51:R500,MATCH($C$15,$B$51:$B$500,0)),"")</f>
        <v>0</v>
      </c>
      <c r="S15" s="2">
        <f>IFERROR(INDEX(S51:S500,MATCH($C$15,$B$51:$B$500,0)),"")</f>
        <v>0</v>
      </c>
      <c r="T15" s="2">
        <f>IFERROR(INDEX(T51:T500,MATCH($C$15,$B$51:$B$500,0)),"")</f>
        <v>0</v>
      </c>
      <c r="U15" s="2">
        <f>IFERROR(INDEX(U51:U500,MATCH($C$15,$B$51:$B$500,0)),"")</f>
        <v>0</v>
      </c>
      <c r="V15" s="2">
        <f>IFERROR(INDEX(V51:V500,MATCH($C$15,$B$51:$B$500,0)),"")</f>
        <v>0</v>
      </c>
      <c r="W15" s="2">
        <f>IFERROR(INDEX(W51:W500,MATCH($C$15,$B$51:$B$500,0)),"")</f>
        <v>0</v>
      </c>
      <c r="X15" s="2">
        <f>IFERROR(INDEX(X51:X500,MATCH($C$15,$B$51:$B$500,0)),"")</f>
        <v>0</v>
      </c>
      <c r="Y15" s="2">
        <f>IFERROR(INDEX(Y51:Y500,MATCH($C$15,$B$51:$B$500,0)),"")</f>
        <v>0</v>
      </c>
      <c r="Z15" s="2">
        <f>IFERROR(INDEX(Z51:Z500,MATCH($C$15,$B$51:$B$500,0)),"")</f>
        <v>0</v>
      </c>
    </row>
    <row r="16">
      <c r="C16" t="str">
        <v>Laba Sebelum Pajak</v>
      </c>
      <c r="D16" s="2">
        <f>IFERROR(INDEX(C51:C500,MATCH($C$16,$B$51:$B$500,0)),"")</f>
        <v>0</v>
      </c>
      <c r="H16" s="2">
        <f>IFERROR(SUM(D16:G16)*(4/MAX(1,COUNT(D16:G16))),=IFERROR(INDEX(H51:H500,MATCH($C$16,$B$51:$B$500,0)),""))</f>
        <v>0</v>
      </c>
      <c r="I16" s="2">
        <f>IFERROR(INDEX(I51:I500,MATCH($C$16,$B$51:$B$500,0)),"")</f>
        <v>0</v>
      </c>
      <c r="J16" s="2">
        <f>IFERROR(INDEX(J51:J500,MATCH($C$16,$B$51:$B$500,0)),"")</f>
        <v>0</v>
      </c>
      <c r="K16" s="2">
        <f>IFERROR(INDEX(K51:K500,MATCH($C$16,$B$51:$B$500,0)),"")</f>
        <v>0</v>
      </c>
      <c r="L16" s="2">
        <f>IFERROR(INDEX(L51:L500,MATCH($C$16,$B$51:$B$500,0)),"")</f>
        <v>0</v>
      </c>
      <c r="M16" s="2">
        <f>IFERROR(INDEX(M51:M500,MATCH($C$16,$B$51:$B$500,0)),"")</f>
        <v>0</v>
      </c>
      <c r="N16" s="2">
        <f>IFERROR(INDEX(N51:N500,MATCH($C$16,$B$51:$B$500,0)),"")</f>
        <v>0</v>
      </c>
      <c r="O16" s="2">
        <f>IFERROR(INDEX(O51:O500,MATCH($C$16,$B$51:$B$500,0)),"")</f>
        <v>0</v>
      </c>
      <c r="P16" s="2">
        <f>IFERROR(INDEX(P51:P500,MATCH($C$16,$B$51:$B$500,0)),"")</f>
        <v>0</v>
      </c>
      <c r="Q16" s="2">
        <f>IFERROR(INDEX(Q51:Q500,MATCH($C$16,$B$51:$B$500,0)),"")</f>
        <v>0</v>
      </c>
      <c r="R16" s="2">
        <f>IFERROR(INDEX(R51:R500,MATCH($C$16,$B$51:$B$500,0)),"")</f>
        <v>0</v>
      </c>
      <c r="S16" s="2">
        <f>IFERROR(INDEX(S51:S500,MATCH($C$16,$B$51:$B$500,0)),"")</f>
        <v>0</v>
      </c>
      <c r="T16" s="2">
        <f>IFERROR(INDEX(T51:T500,MATCH($C$16,$B$51:$B$500,0)),"")</f>
        <v>0</v>
      </c>
      <c r="U16" s="2">
        <f>IFERROR(INDEX(U51:U500,MATCH($C$16,$B$51:$B$500,0)),"")</f>
        <v>0</v>
      </c>
      <c r="V16" s="2">
        <f>IFERROR(INDEX(V51:V500,MATCH($C$16,$B$51:$B$500,0)),"")</f>
        <v>0</v>
      </c>
      <c r="W16" s="2">
        <f>IFERROR(INDEX(W51:W500,MATCH($C$16,$B$51:$B$500,0)),"")</f>
        <v>0</v>
      </c>
      <c r="X16" s="2">
        <f>IFERROR(INDEX(X51:X500,MATCH($C$16,$B$51:$B$500,0)),"")</f>
        <v>0</v>
      </c>
      <c r="Y16" s="2">
        <f>IFERROR(INDEX(Y51:Y500,MATCH($C$16,$B$51:$B$500,0)),"")</f>
        <v>0</v>
      </c>
      <c r="Z16" s="2">
        <f>IFERROR(INDEX(Z51:Z500,MATCH($C$16,$B$51:$B$500,0)),"")</f>
        <v>0</v>
      </c>
    </row>
    <row r="17">
      <c r="A17" t="str">
        <v>Cara Membaca P/FCF</v>
      </c>
    </row>
    <row r="18">
      <c r="A18" t="str">
        <v>Rendah (misal &lt; 15)</v>
      </c>
      <c r="D18" t="str">
        <v>Q1</v>
      </c>
      <c r="H18" t="str">
        <v>tahun Berjalan</v>
      </c>
      <c r="I18" t="str">
        <v>12M 2024</v>
      </c>
      <c r="J18" t="str">
        <v>12M 2023</v>
      </c>
      <c r="K18" t="str">
        <v>12M 2022</v>
      </c>
      <c r="L18" t="str">
        <v>12M 2021</v>
      </c>
      <c r="M18" t="str">
        <v>12M 2020</v>
      </c>
      <c r="N18" t="str">
        <v>12M 2019</v>
      </c>
      <c r="O18" t="str">
        <v>12M 2018</v>
      </c>
      <c r="P18" t="str">
        <v>12M 2017</v>
      </c>
      <c r="Q18" t="str">
        <v>12M 2016</v>
      </c>
      <c r="R18" t="str">
        <v>12M 2015</v>
      </c>
      <c r="S18" t="str">
        <v>12M 2014</v>
      </c>
      <c r="T18" t="str">
        <v>12M 2013</v>
      </c>
      <c r="U18" t="str">
        <v>12M 2012</v>
      </c>
      <c r="V18" t="str">
        <v>12M 2011</v>
      </c>
      <c r="W18" t="str">
        <v>12M 2010</v>
      </c>
      <c r="X18" t="str">
        <v>12M 2009</v>
      </c>
      <c r="Y18" t="str">
        <v>12M 2008</v>
      </c>
      <c r="Z18" t="str">
        <v>12M 2007</v>
      </c>
    </row>
    <row r="19">
      <c r="A19" t="str">
        <v>Tinggi (misal &gt; 30)</v>
      </c>
      <c r="C19" t="str">
        <v>Dalam IDR</v>
      </c>
    </row>
    <row r="20">
      <c r="A20" t="str">
        <v>FCF negatif — perusahaan belum menghasilkan kas bebas</v>
      </c>
      <c r="C20" t="str">
        <v>Market Cap</v>
      </c>
      <c r="D20" s="2">
        <f>D21*D2</f>
        <v>0</v>
      </c>
      <c r="H20" s="2">
        <f>H21*H2</f>
        <v>0</v>
      </c>
      <c r="I20" s="2">
        <f>I21*I2</f>
        <v>0</v>
      </c>
      <c r="J20" s="2">
        <f>J21*J2</f>
        <v>0</v>
      </c>
      <c r="K20" s="2">
        <f>K21*K2</f>
        <v>0</v>
      </c>
      <c r="L20" s="2">
        <f>L21*L2</f>
        <v>0</v>
      </c>
      <c r="M20" s="2">
        <f>M21*M2</f>
        <v>0</v>
      </c>
      <c r="N20" s="2">
        <f>N21*N2</f>
        <v>0</v>
      </c>
      <c r="O20" s="2">
        <f>O21*O2</f>
        <v>0</v>
      </c>
      <c r="P20" s="2">
        <f>P21*P2</f>
        <v>0</v>
      </c>
      <c r="Q20" s="2">
        <f>Q21*Q2</f>
        <v>0</v>
      </c>
      <c r="R20" s="2">
        <f>R21*R2</f>
        <v>0</v>
      </c>
      <c r="S20" s="2">
        <f>S21*S2</f>
        <v>0</v>
      </c>
      <c r="T20" s="2">
        <f>T21*T2</f>
        <v>0</v>
      </c>
      <c r="U20" s="2">
        <f>U21*U2</f>
        <v>0</v>
      </c>
      <c r="V20" s="2">
        <f>V21*V2</f>
        <v>0</v>
      </c>
      <c r="W20" s="2">
        <f>W21*W2</f>
        <v>0</v>
      </c>
      <c r="X20" s="2">
        <f>X21*X2</f>
        <v>0</v>
      </c>
      <c r="Y20" s="2">
        <f>Y21*Y2</f>
        <v>0</v>
      </c>
      <c r="Z20" s="2">
        <f>Z21*Z2</f>
        <v>0</v>
      </c>
    </row>
    <row r="21">
      <c r="C21" t="str">
        <v>Share Outstanding</v>
      </c>
      <c r="D21" s="2">
        <f>IFERROR(INDEX(C51:C500,MATCH("Share Outstanding",$B$51:$B$500,0)),"")</f>
        <v>0</v>
      </c>
      <c r="H21" s="2">
        <f>IFERROR(INDEX(H51:H500,MATCH("Share Outstanding",$B$51:$B$500,0)),"")</f>
        <v>0</v>
      </c>
      <c r="I21" s="2">
        <f>IFERROR(INDEX(I51:I500,MATCH("Share Outstanding",$B$51:$B$500,0)),"")</f>
        <v>0</v>
      </c>
      <c r="J21" s="2">
        <f>IFERROR(INDEX(J51:J500,MATCH("Share Outstanding",$B$51:$B$500,0)),"")</f>
        <v>0</v>
      </c>
      <c r="K21" s="2">
        <f>IFERROR(INDEX(K51:K500,MATCH("Share Outstanding",$B$51:$B$500,0)),"")</f>
        <v>0</v>
      </c>
      <c r="L21" s="2">
        <f>IFERROR(INDEX(L51:L500,MATCH("Share Outstanding",$B$51:$B$500,0)),"")</f>
        <v>0</v>
      </c>
      <c r="M21" s="2">
        <f>IFERROR(INDEX(M51:M500,MATCH("Share Outstanding",$B$51:$B$500,0)),"")</f>
        <v>0</v>
      </c>
      <c r="N21" s="2">
        <f>IFERROR(INDEX(N51:N500,MATCH("Share Outstanding",$B$51:$B$500,0)),"")</f>
        <v>0</v>
      </c>
      <c r="O21" s="2">
        <f>IFERROR(INDEX(O51:O500,MATCH("Share Outstanding",$B$51:$B$500,0)),"")</f>
        <v>0</v>
      </c>
      <c r="P21" s="2">
        <f>IFERROR(INDEX(P51:P500,MATCH("Share Outstanding",$B$51:$B$500,0)),"")</f>
        <v>0</v>
      </c>
      <c r="Q21" s="2">
        <f>IFERROR(INDEX(Q51:Q500,MATCH("Share Outstanding",$B$51:$B$500,0)),"")</f>
        <v>0</v>
      </c>
      <c r="R21" s="2">
        <f>IFERROR(INDEX(R51:R500,MATCH("Share Outstanding",$B$51:$B$500,0)),"")</f>
        <v>0</v>
      </c>
      <c r="S21" s="2">
        <f>IFERROR(INDEX(S51:S500,MATCH("Share Outstanding",$B$51:$B$500,0)),"")</f>
        <v>0</v>
      </c>
      <c r="T21" s="2">
        <f>IFERROR(INDEX(T51:T500,MATCH("Share Outstanding",$B$51:$B$500,0)),"")</f>
        <v>0</v>
      </c>
      <c r="U21" s="2">
        <f>IFERROR(INDEX(U51:U500,MATCH("Share Outstanding",$B$51:$B$500,0)),"")</f>
        <v>0</v>
      </c>
      <c r="V21" s="2">
        <f>IFERROR(INDEX(V51:V500,MATCH("Share Outstanding",$B$51:$B$500,0)),"")</f>
        <v>0</v>
      </c>
      <c r="W21" s="2">
        <f>IFERROR(INDEX(W51:W500,MATCH("Share Outstanding",$B$51:$B$500,0)),"")</f>
        <v>0</v>
      </c>
      <c r="X21" s="2">
        <f>IFERROR(INDEX(X51:X500,MATCH("Share Outstanding",$B$51:$B$500,0)),"")</f>
        <v>0</v>
      </c>
      <c r="Y21" s="2">
        <f>IFERROR(INDEX(Y51:Y500,MATCH("Share Outstanding",$B$51:$B$500,0)),"")</f>
        <v>0</v>
      </c>
      <c r="Z21" s="2">
        <f>IFERROR(INDEX(Z51:Z500,MATCH("Share Outstanding",$B$51:$B$500,0)),"")</f>
        <v>0</v>
      </c>
    </row>
    <row r="23">
      <c r="B23" t="str">
        <v>MANUAL</v>
      </c>
      <c r="C23" t="str">
        <v>ROE</v>
      </c>
      <c r="D23" s="2">
        <f>IFERROR(D5/D6*100,"")</f>
        <v>0</v>
      </c>
      <c r="H23" s="2">
        <f>IFERROR(H5/H6*100,"")</f>
        <v>0</v>
      </c>
      <c r="I23" s="2">
        <f>IFERROR(I5/I6*100,"")</f>
        <v>0</v>
      </c>
      <c r="J23" s="2">
        <f>IFERROR(J5/J6*100,"")</f>
        <v>0</v>
      </c>
      <c r="K23" s="2">
        <f>IFERROR(K5/K6*100,"")</f>
        <v>0</v>
      </c>
      <c r="L23" s="2">
        <f>IFERROR(L5/L6*100,"")</f>
        <v>0</v>
      </c>
      <c r="M23" s="2">
        <f>IFERROR(M5/M6*100,"")</f>
        <v>0</v>
      </c>
      <c r="N23" s="2">
        <f>IFERROR(N5/N6*100,"")</f>
        <v>0</v>
      </c>
      <c r="O23" s="2">
        <f>IFERROR(O5/O6*100,"")</f>
        <v>0</v>
      </c>
      <c r="P23" s="2">
        <f>IFERROR(P5/P6*100,"")</f>
        <v>0</v>
      </c>
      <c r="Q23" s="2">
        <f>IFERROR(Q5/Q6*100,"")</f>
        <v>0</v>
      </c>
      <c r="R23" s="2">
        <f>IFERROR(R5/R6*100,"")</f>
        <v>0</v>
      </c>
      <c r="S23" s="2">
        <f>IFERROR(S5/S6*100,"")</f>
        <v>0</v>
      </c>
      <c r="T23" s="2">
        <f>IFERROR(T5/T6*100,"")</f>
        <v>0</v>
      </c>
      <c r="U23" s="2">
        <f>IFERROR(U5/U6*100,"")</f>
        <v>0</v>
      </c>
      <c r="V23" s="2">
        <f>IFERROR(V5/V6*100,"")</f>
        <v>0</v>
      </c>
      <c r="W23" s="2">
        <f>IFERROR(W5/W6*100,"")</f>
        <v>0</v>
      </c>
      <c r="X23" s="2">
        <f>IFERROR(X5/X6*100,"")</f>
        <v>0</v>
      </c>
      <c r="Y23" s="2">
        <f>IFERROR(Y5/Y6*100,"")</f>
        <v>0</v>
      </c>
      <c r="Z23" s="2">
        <f>IFERROR(Z5/Z6*100,"")</f>
        <v>0</v>
      </c>
    </row>
    <row r="24">
      <c r="C24" t="str">
        <v>ROE 5 Tahun</v>
      </c>
      <c r="D24" s="2">
        <f>IFERROR(RRI(5,I23,D23),"")</f>
        <v>0</v>
      </c>
      <c r="H24" s="2">
        <f>IFERROR(RRI(5,M23,H23),"")</f>
        <v>0</v>
      </c>
      <c r="I24" s="2">
        <f>IFERROR(RRI(5,N23,I23),"")</f>
        <v>0</v>
      </c>
      <c r="J24" s="2">
        <f>IFERROR(RRI(5,O23,J23),"")</f>
        <v>0</v>
      </c>
      <c r="K24" s="2">
        <f>IFERROR(RRI(5,P23,K23),"")</f>
        <v>0</v>
      </c>
      <c r="L24" s="2">
        <f>IFERROR(RRI(5,Q23,L23),"")</f>
        <v>0</v>
      </c>
      <c r="M24" s="2">
        <f>IFERROR(RRI(5,R23,M23),"")</f>
        <v>0</v>
      </c>
      <c r="N24" s="2">
        <f>IFERROR(RRI(5,S23,N23),"")</f>
        <v>0</v>
      </c>
      <c r="O24" s="2">
        <f>IFERROR(RRI(5,T23,O23),"")</f>
        <v>0</v>
      </c>
      <c r="P24" s="2">
        <f>IFERROR(RRI(5,U23,P23),"")</f>
        <v>0</v>
      </c>
      <c r="Q24" s="2">
        <f>IFERROR(RRI(5,V23,Q23),"")</f>
        <v>0</v>
      </c>
      <c r="R24" s="2">
        <f>IFERROR(RRI(5,W23,R23),"")</f>
        <v>0</v>
      </c>
      <c r="S24" s="2">
        <f>IFERROR(RRI(5,X23,S23),"")</f>
        <v>0</v>
      </c>
      <c r="T24" s="2">
        <f>IFERROR(RRI(5,Y23,T23),"")</f>
        <v>0</v>
      </c>
      <c r="U24" s="2">
        <f>IFERROR(RRI(5,Z23,U23),"")</f>
        <v>0</v>
      </c>
      <c r="V24" s="2">
        <f>IFERROR(RRI(5,AA23,V23),"")</f>
        <v>0</v>
      </c>
      <c r="W24" s="2">
        <f>IFERROR(RRI(5,AB23,W23),"")</f>
        <v>0</v>
      </c>
      <c r="X24" s="2">
        <f>IFERROR(RRI(5,AC23,X23),"")</f>
        <v>0</v>
      </c>
      <c r="Y24" s="2">
        <f>IFERROR(RRI(5,AD23,Y23),"")</f>
        <v>0</v>
      </c>
      <c r="Z24" s="2">
        <f>IFERROR(RRI(5,AE23,Z23),"")</f>
        <v>0</v>
      </c>
    </row>
    <row r="25">
      <c r="A25" t="str">
        <v>EPS</v>
      </c>
      <c r="C25" t="str">
        <v>EPS (Annual)</v>
      </c>
      <c r="D25" s="2">
        <f>IFERROR(INDEX(C51:C500,MATCH($A$25,$B$51:$B$500,0)),"")</f>
        <v>0</v>
      </c>
      <c r="H25" s="2">
        <f>IFERROR(INDEX(H51:H500,MATCH($C$25,$B$51:$B$500,0)),"")</f>
        <v>0</v>
      </c>
      <c r="I25" s="2">
        <f>IFERROR(INDEX(I51:I500,MATCH($C$25,$B$51:$B$500,0)),"")</f>
        <v>0</v>
      </c>
      <c r="J25" s="2">
        <f>IFERROR(INDEX(J51:J500,MATCH($C$25,$B$51:$B$500,0)),"")</f>
        <v>0</v>
      </c>
      <c r="K25" s="2">
        <f>IFERROR(INDEX(K51:K500,MATCH($C$25,$B$51:$B$500,0)),"")</f>
        <v>0</v>
      </c>
      <c r="L25" s="2">
        <f>IFERROR(INDEX(L51:L500,MATCH($C$25,$B$51:$B$500,0)),"")</f>
        <v>0</v>
      </c>
      <c r="M25" s="2">
        <f>IFERROR(INDEX(M51:M500,MATCH($C$25,$B$51:$B$500,0)),"")</f>
        <v>0</v>
      </c>
      <c r="N25" s="2">
        <f>IFERROR(INDEX(N51:N500,MATCH($C$25,$B$51:$B$500,0)),"")</f>
        <v>0</v>
      </c>
      <c r="O25" s="2">
        <f>IFERROR(INDEX(O51:O500,MATCH($C$25,$B$51:$B$500,0)),"")</f>
        <v>0</v>
      </c>
      <c r="P25" s="2">
        <f>IFERROR(INDEX(P51:P500,MATCH($C$25,$B$51:$B$500,0)),"")</f>
        <v>0</v>
      </c>
      <c r="Q25" s="2">
        <f>IFERROR(INDEX(Q51:Q500,MATCH($C$25,$B$51:$B$500,0)),"")</f>
        <v>0</v>
      </c>
      <c r="R25" s="2">
        <f>IFERROR(INDEX(R51:R500,MATCH($C$25,$B$51:$B$500,0)),"")</f>
        <v>0</v>
      </c>
      <c r="S25" s="2">
        <f>IFERROR(INDEX(S51:S500,MATCH($C$25,$B$51:$B$500,0)),"")</f>
        <v>0</v>
      </c>
      <c r="T25" s="2">
        <f>IFERROR(INDEX(T51:T500,MATCH($C$25,$B$51:$B$500,0)),"")</f>
        <v>0</v>
      </c>
      <c r="U25" s="2">
        <f>IFERROR(INDEX(U51:U500,MATCH($C$25,$B$51:$B$500,0)),"")</f>
        <v>0</v>
      </c>
      <c r="V25" s="2">
        <f>IFERROR(INDEX(V51:V500,MATCH($C$25,$B$51:$B$500,0)),"")</f>
        <v>0</v>
      </c>
      <c r="W25" s="2">
        <f>IFERROR(INDEX(W51:W500,MATCH($C$25,$B$51:$B$500,0)),"")</f>
        <v>0</v>
      </c>
      <c r="X25" s="2">
        <f>IFERROR(INDEX(X51:X500,MATCH($C$25,$B$51:$B$500,0)),"")</f>
        <v>0</v>
      </c>
      <c r="Y25" s="2">
        <f>IFERROR(INDEX(Y51:Y500,MATCH($C$25,$B$51:$B$500,0)),"")</f>
        <v>0</v>
      </c>
      <c r="Z25" s="2">
        <f>IFERROR(INDEX(Z51:Z500,MATCH($C$25,$B$51:$B$500,0)),"")</f>
        <v>0</v>
      </c>
    </row>
    <row r="26">
      <c r="C26" t="str">
        <v>EPS Growth 5 Tahun</v>
      </c>
      <c r="D26" s="2">
        <f>IFERROR(RRI(5,I25,D25),"")</f>
        <v>0</v>
      </c>
      <c r="H26" s="2">
        <f>IFERROR(RRI(5,M25,H25),"")</f>
        <v>0</v>
      </c>
      <c r="I26" s="2">
        <f>IFERROR(RRI(5,N25,I25),"")</f>
        <v>0</v>
      </c>
      <c r="J26" s="2">
        <f>IFERROR(RRI(5,O25,J25),"")</f>
        <v>0</v>
      </c>
      <c r="K26" s="2">
        <f>IFERROR(RRI(5,P25,K25),"")</f>
        <v>0</v>
      </c>
      <c r="L26" s="2">
        <f>IFERROR(RRI(5,Q25,L25),"")</f>
        <v>0</v>
      </c>
      <c r="M26" s="2">
        <f>IFERROR(RRI(5,R25,M25),"")</f>
        <v>0</v>
      </c>
      <c r="N26" s="2">
        <f>IFERROR(RRI(5,S25,N25),"")</f>
        <v>0</v>
      </c>
      <c r="O26" s="2">
        <f>IFERROR(RRI(5,T25,O25),"")</f>
        <v>0</v>
      </c>
      <c r="P26" s="2">
        <f>IFERROR(RRI(5,U25,P25),"")</f>
        <v>0</v>
      </c>
      <c r="Q26" s="2">
        <f>IFERROR(RRI(5,V25,Q25),"")</f>
        <v>0</v>
      </c>
      <c r="R26" s="2">
        <f>IFERROR(RRI(5,W25,R25),"")</f>
        <v>0</v>
      </c>
      <c r="S26" s="2">
        <f>IFERROR(RRI(5,X25,S25),"")</f>
        <v>0</v>
      </c>
      <c r="T26" s="2">
        <f>IFERROR(RRI(5,Y25,T25),"")</f>
        <v>0</v>
      </c>
      <c r="U26" s="2">
        <f>IFERROR(RRI(5,Z25,U25),"")</f>
        <v>0</v>
      </c>
      <c r="V26" s="2">
        <f>IFERROR(RRI(5,AA25,V25),"")</f>
        <v>0</v>
      </c>
      <c r="W26" s="2">
        <f>IFERROR(RRI(5,AB25,W25),"")</f>
        <v>0</v>
      </c>
      <c r="X26" s="2">
        <f>IFERROR(RRI(5,AC25,X25),"")</f>
        <v>0</v>
      </c>
      <c r="Y26" s="2">
        <f>IFERROR(RRI(5,AD25,Y25),"")</f>
        <v>0</v>
      </c>
      <c r="Z26" s="2">
        <f>IFERROR(RRI(5,AE25,Z25),"")</f>
        <v>0</v>
      </c>
    </row>
    <row r="27">
      <c r="C27" t="str">
        <v>SPS</v>
      </c>
      <c r="D27" s="2">
        <f>IFERROR(D4/D21,"")</f>
        <v>0</v>
      </c>
      <c r="H27" s="2">
        <f>IFERROR(H4/H21,"")</f>
        <v>0</v>
      </c>
      <c r="I27" s="2">
        <f>IFERROR(I4/I21,"")</f>
        <v>0</v>
      </c>
      <c r="J27" s="2">
        <f>IFERROR(J4/J21,"")</f>
        <v>0</v>
      </c>
      <c r="K27" s="2">
        <f>IFERROR(K4/K21,"")</f>
        <v>0</v>
      </c>
      <c r="L27" s="2">
        <f>IFERROR(L4/L21,"")</f>
        <v>0</v>
      </c>
      <c r="M27" s="2">
        <f>IFERROR(M4/M21,"")</f>
        <v>0</v>
      </c>
      <c r="N27" s="2">
        <f>IFERROR(N4/N21,"")</f>
        <v>0</v>
      </c>
      <c r="O27" s="2">
        <f>IFERROR(O4/O21,"")</f>
        <v>0</v>
      </c>
      <c r="P27" s="2">
        <f>IFERROR(P4/P21,"")</f>
        <v>0</v>
      </c>
      <c r="Q27" s="2">
        <f>IFERROR(Q4/Q21,"")</f>
        <v>0</v>
      </c>
      <c r="R27" s="2">
        <f>IFERROR(R4/R21,"")</f>
        <v>0</v>
      </c>
      <c r="S27" s="2">
        <f>IFERROR(S4/S21,"")</f>
        <v>0</v>
      </c>
      <c r="T27" s="2">
        <f>IFERROR(T4/T21,"")</f>
        <v>0</v>
      </c>
      <c r="U27" s="2">
        <f>IFERROR(U4/U21,"")</f>
        <v>0</v>
      </c>
      <c r="V27" s="2">
        <f>IFERROR(V4/V21,"")</f>
        <v>0</v>
      </c>
      <c r="W27" s="2">
        <f>IFERROR(W4/W21,"")</f>
        <v>0</v>
      </c>
      <c r="X27" s="2">
        <f>IFERROR(X4/X21,"")</f>
        <v>0</v>
      </c>
      <c r="Y27" s="2">
        <f>IFERROR(Y4/Y21,"")</f>
        <v>0</v>
      </c>
      <c r="Z27" s="2">
        <f>IFERROR(Z4/Z21,"")</f>
        <v>0</v>
      </c>
    </row>
    <row r="28">
      <c r="C28" t="str">
        <v>SPS Growth 5 Tahun</v>
      </c>
      <c r="D28" s="2">
        <f>IFERROR(RRI(5,I27,D27),"")</f>
        <v>0</v>
      </c>
      <c r="H28" s="2">
        <f>IFERROR(RRI(5,M27,H27),"")</f>
        <v>0</v>
      </c>
      <c r="I28" s="2">
        <f>IFERROR(RRI(5,N27,I27),"")</f>
        <v>0</v>
      </c>
      <c r="J28" s="2">
        <f>IFERROR(RRI(5,O27,J27),"")</f>
        <v>0</v>
      </c>
      <c r="K28" s="2">
        <f>IFERROR(RRI(5,P27,K27),"")</f>
        <v>0</v>
      </c>
      <c r="L28" s="2">
        <f>IFERROR(RRI(5,Q27,L27),"")</f>
        <v>0</v>
      </c>
      <c r="M28" s="2">
        <f>IFERROR(RRI(5,R27,M27),"")</f>
        <v>0</v>
      </c>
      <c r="N28" s="2">
        <f>IFERROR(RRI(5,S27,N27),"")</f>
        <v>0</v>
      </c>
      <c r="O28" s="2">
        <f>IFERROR(RRI(5,T27,O27),"")</f>
        <v>0</v>
      </c>
      <c r="P28" s="2">
        <f>IFERROR(RRI(5,U27,P27),"")</f>
        <v>0</v>
      </c>
      <c r="Q28" s="2">
        <f>IFERROR(RRI(5,V27,Q27),"")</f>
        <v>0</v>
      </c>
      <c r="R28" s="2">
        <f>IFERROR(RRI(5,W27,R27),"")</f>
        <v>0</v>
      </c>
      <c r="S28" s="2">
        <f>IFERROR(RRI(5,X27,S27),"")</f>
        <v>0</v>
      </c>
      <c r="T28" s="2">
        <f>IFERROR(RRI(5,Y27,T27),"")</f>
        <v>0</v>
      </c>
      <c r="U28" s="2">
        <f>IFERROR(RRI(5,Z27,U27),"")</f>
        <v>0</v>
      </c>
      <c r="V28" s="2">
        <f>IFERROR(RRI(5,AA27,V27),"")</f>
        <v>0</v>
      </c>
      <c r="W28" s="2">
        <f>IFERROR(RRI(5,AB27,W27),"")</f>
        <v>0</v>
      </c>
      <c r="X28" s="2">
        <f>IFERROR(RRI(5,AC27,X27),"")</f>
        <v>0</v>
      </c>
      <c r="Y28" s="2">
        <f>IFERROR(RRI(5,AD27,Y27),"")</f>
        <v>0</v>
      </c>
      <c r="Z28" s="2">
        <f>IFERROR(RRI(5,AE27,Z27),"")</f>
        <v>0</v>
      </c>
    </row>
    <row r="32">
      <c r="A32" t="str">
        <v>Book Value Per Share (quarter)</v>
      </c>
      <c r="B32" t="str">
        <v>Book Value</v>
      </c>
      <c r="C32" t="str">
        <v>Book Value Per Share (Annual)</v>
      </c>
      <c r="D32" s="2">
        <f>IFERROR(INDEX(C51:C500,MATCH($A$32,$B$51:$B$500,0)),"")</f>
        <v>0</v>
      </c>
      <c r="H32" s="2">
        <f>IFERROR(INDEX(H51:H500,MATCH($C$32,$B$51:$B$500,0)),"")</f>
        <v>0</v>
      </c>
      <c r="I32" s="2">
        <f>IFERROR(INDEX(I51:I500,MATCH($C$32,$B$51:$B$500,0)),"")</f>
        <v>0</v>
      </c>
      <c r="J32" s="2">
        <f>IFERROR(INDEX(J51:J500,MATCH($C$32,$B$51:$B$500,0)),"")</f>
        <v>0</v>
      </c>
      <c r="K32" s="2">
        <f>IFERROR(INDEX(K51:K500,MATCH($C$32,$B$51:$B$500,0)),"")</f>
        <v>0</v>
      </c>
      <c r="L32" s="2">
        <f>IFERROR(INDEX(L51:L500,MATCH($C$32,$B$51:$B$500,0)),"")</f>
        <v>0</v>
      </c>
      <c r="M32" s="2">
        <f>IFERROR(INDEX(M51:M500,MATCH($C$32,$B$51:$B$500,0)),"")</f>
        <v>0</v>
      </c>
      <c r="N32" s="2">
        <f>IFERROR(INDEX(N51:N500,MATCH($C$32,$B$51:$B$500,0)),"")</f>
        <v>0</v>
      </c>
      <c r="O32" s="2">
        <f>IFERROR(INDEX(O51:O500,MATCH($C$32,$B$51:$B$500,0)),"")</f>
        <v>0</v>
      </c>
      <c r="P32" s="2">
        <f>IFERROR(INDEX(P51:P500,MATCH($C$32,$B$51:$B$500,0)),"")</f>
        <v>0</v>
      </c>
      <c r="Q32" s="2">
        <f>IFERROR(INDEX(Q51:Q500,MATCH($C$32,$B$51:$B$500,0)),"")</f>
        <v>0</v>
      </c>
      <c r="R32" s="2">
        <f>IFERROR(INDEX(R51:R500,MATCH($C$32,$B$51:$B$500,0)),"")</f>
        <v>0</v>
      </c>
      <c r="S32" s="2">
        <f>IFERROR(INDEX(S51:S500,MATCH($C$32,$B$51:$B$500,0)),"")</f>
        <v>0</v>
      </c>
      <c r="T32" s="2">
        <f>IFERROR(INDEX(T51:T500,MATCH($C$32,$B$51:$B$500,0)),"")</f>
        <v>0</v>
      </c>
      <c r="U32" s="2">
        <f>IFERROR(INDEX(U51:U500,MATCH($C$32,$B$51:$B$500,0)),"")</f>
        <v>0</v>
      </c>
      <c r="V32" s="2">
        <f>IFERROR(INDEX(V51:V500,MATCH($C$32,$B$51:$B$500,0)),"")</f>
        <v>0</v>
      </c>
      <c r="W32" s="2">
        <f>IFERROR(INDEX(W51:W500,MATCH($C$32,$B$51:$B$500,0)),"")</f>
        <v>0</v>
      </c>
      <c r="X32" s="2">
        <f>IFERROR(INDEX(X51:X500,MATCH($C$32,$B$51:$B$500,0)),"")</f>
        <v>0</v>
      </c>
      <c r="Y32" s="2">
        <f>IFERROR(INDEX(Y51:Y500,MATCH($C$32,$B$51:$B$500,0)),"")</f>
        <v>0</v>
      </c>
      <c r="Z32" s="2">
        <f>IFERROR(INDEX(Z51:Z500,MATCH($C$32,$B$51:$B$500,0)),"")</f>
        <v>0</v>
      </c>
    </row>
    <row r="33">
      <c r="A33" t="str">
        <v>Price to Book Value (quarter)</v>
      </c>
      <c r="B33" t="str">
        <v>PBV</v>
      </c>
      <c r="C33" t="str">
        <v>Price to Book Value (Annual)</v>
      </c>
      <c r="D33" s="2">
        <f>IFERROR(INDEX(C51:C500,MATCH($A$33,$B$51:$B$500,0)),"")</f>
        <v>0</v>
      </c>
      <c r="H33" s="2">
        <f>IFERROR(INDEX(H51:H500,MATCH($C$33,$B$51:$B$500,0)),"")</f>
        <v>0</v>
      </c>
      <c r="I33" s="2">
        <f>IFERROR(INDEX(I51:I500,MATCH($C$33,$B$51:$B$500,0)),"")</f>
        <v>0</v>
      </c>
      <c r="J33" s="2">
        <f>IFERROR(INDEX(J51:J500,MATCH($C$33,$B$51:$B$500,0)),"")</f>
        <v>0</v>
      </c>
      <c r="K33" s="2">
        <f>IFERROR(INDEX(K51:K500,MATCH($C$33,$B$51:$B$500,0)),"")</f>
        <v>0</v>
      </c>
      <c r="L33" s="2">
        <f>IFERROR(INDEX(L51:L500,MATCH($C$33,$B$51:$B$500,0)),"")</f>
        <v>0</v>
      </c>
      <c r="M33" s="2">
        <f>IFERROR(INDEX(M51:M500,MATCH($C$33,$B$51:$B$500,0)),"")</f>
        <v>0</v>
      </c>
      <c r="N33" s="2">
        <f>IFERROR(INDEX(N51:N500,MATCH($C$33,$B$51:$B$500,0)),"")</f>
        <v>0</v>
      </c>
      <c r="O33" s="2">
        <f>IFERROR(INDEX(O51:O500,MATCH($C$33,$B$51:$B$500,0)),"")</f>
        <v>0</v>
      </c>
      <c r="P33" s="2">
        <f>IFERROR(INDEX(P51:P500,MATCH($C$33,$B$51:$B$500,0)),"")</f>
        <v>0</v>
      </c>
      <c r="Q33" s="2">
        <f>IFERROR(INDEX(Q51:Q500,MATCH($C$33,$B$51:$B$500,0)),"")</f>
        <v>0</v>
      </c>
      <c r="R33" s="2">
        <f>IFERROR(INDEX(R51:R500,MATCH($C$33,$B$51:$B$500,0)),"")</f>
        <v>0</v>
      </c>
      <c r="S33" s="2">
        <f>IFERROR(INDEX(S51:S500,MATCH($C$33,$B$51:$B$500,0)),"")</f>
        <v>0</v>
      </c>
      <c r="T33" s="2">
        <f>IFERROR(INDEX(T51:T500,MATCH($C$33,$B$51:$B$500,0)),"")</f>
        <v>0</v>
      </c>
      <c r="U33" s="2">
        <f>IFERROR(INDEX(U51:U500,MATCH($C$33,$B$51:$B$500,0)),"")</f>
        <v>0</v>
      </c>
      <c r="V33" s="2">
        <f>IFERROR(INDEX(V51:V500,MATCH($C$33,$B$51:$B$500,0)),"")</f>
        <v>0</v>
      </c>
      <c r="W33" s="2">
        <f>IFERROR(INDEX(W51:W500,MATCH($C$33,$B$51:$B$500,0)),"")</f>
        <v>0</v>
      </c>
      <c r="X33" s="2">
        <f>IFERROR(INDEX(X51:X500,MATCH($C$33,$B$51:$B$500,0)),"")</f>
        <v>0</v>
      </c>
      <c r="Y33" s="2">
        <f>IFERROR(INDEX(Y51:Y500,MATCH($C$33,$B$51:$B$500,0)),"")</f>
        <v>0</v>
      </c>
      <c r="Z33" s="2">
        <f>IFERROR(INDEX(Z51:Z500,MATCH($C$33,$B$51:$B$500,0)),"")</f>
        <v>0</v>
      </c>
    </row>
    <row r="34">
      <c r="A34" t="str">
        <v>PE Ratio (quarter)</v>
      </c>
      <c r="B34" t="str">
        <v>PER</v>
      </c>
      <c r="C34" t="str">
        <v>PE Ratio (Annual)</v>
      </c>
      <c r="D34" s="2">
        <f>IFERROR(INDEX(C51:C500,MATCH($A$34,$B$51:$B$500,0)),"")</f>
        <v>0</v>
      </c>
      <c r="H34" s="2">
        <f>IFERROR(INDEX(H51:H500,MATCH($C$34,$B$51:$B$500,0)),"")</f>
        <v>0</v>
      </c>
      <c r="I34" s="2">
        <f>IFERROR(INDEX(I51:I500,MATCH($C$34,$B$51:$B$500,0)),"")</f>
        <v>0</v>
      </c>
      <c r="J34" s="2">
        <f>IFERROR(INDEX(J51:J500,MATCH($C$34,$B$51:$B$500,0)),"")</f>
        <v>0</v>
      </c>
      <c r="K34" s="2">
        <f>IFERROR(INDEX(K51:K500,MATCH($C$34,$B$51:$B$500,0)),"")</f>
        <v>0</v>
      </c>
      <c r="L34" s="2">
        <f>IFERROR(INDEX(L51:L500,MATCH($C$34,$B$51:$B$500,0)),"")</f>
        <v>0</v>
      </c>
      <c r="M34" s="2">
        <f>IFERROR(INDEX(M51:M500,MATCH($C$34,$B$51:$B$500,0)),"")</f>
        <v>0</v>
      </c>
      <c r="N34" s="2">
        <f>IFERROR(INDEX(N51:N500,MATCH($C$34,$B$51:$B$500,0)),"")</f>
        <v>0</v>
      </c>
      <c r="O34" s="2">
        <f>IFERROR(INDEX(O51:O500,MATCH($C$34,$B$51:$B$500,0)),"")</f>
        <v>0</v>
      </c>
      <c r="P34" s="2">
        <f>IFERROR(INDEX(P51:P500,MATCH($C$34,$B$51:$B$500,0)),"")</f>
        <v>0</v>
      </c>
      <c r="Q34" s="2">
        <f>IFERROR(INDEX(Q51:Q500,MATCH($C$34,$B$51:$B$500,0)),"")</f>
        <v>0</v>
      </c>
      <c r="R34" s="2">
        <f>IFERROR(INDEX(R51:R500,MATCH($C$34,$B$51:$B$500,0)),"")</f>
        <v>0</v>
      </c>
      <c r="S34" s="2">
        <f>IFERROR(INDEX(S51:S500,MATCH($C$34,$B$51:$B$500,0)),"")</f>
        <v>0</v>
      </c>
      <c r="T34" s="2">
        <f>IFERROR(INDEX(T51:T500,MATCH($C$34,$B$51:$B$500,0)),"")</f>
        <v>0</v>
      </c>
      <c r="U34" s="2">
        <f>IFERROR(INDEX(U51:U500,MATCH($C$34,$B$51:$B$500,0)),"")</f>
        <v>0</v>
      </c>
      <c r="V34" s="2">
        <f>IFERROR(INDEX(V51:V500,MATCH($C$34,$B$51:$B$500,0)),"")</f>
        <v>0</v>
      </c>
      <c r="W34" s="2">
        <f>IFERROR(INDEX(W51:W500,MATCH($C$34,$B$51:$B$500,0)),"")</f>
        <v>0</v>
      </c>
      <c r="X34" s="2">
        <f>IFERROR(INDEX(X51:X500,MATCH($C$34,$B$51:$B$500,0)),"")</f>
        <v>0</v>
      </c>
      <c r="Y34" s="2">
        <f>IFERROR(INDEX(Y51:Y500,MATCH($C$34,$B$51:$B$500,0)),"")</f>
        <v>0</v>
      </c>
      <c r="Z34" s="2">
        <f>IFERROR(INDEX(Z51:Z500,MATCH($C$34,$B$51:$B$500,0)),"")</f>
        <v>0</v>
      </c>
    </row>
    <row r="35">
      <c r="A35" t="str">
        <v>Price to Sales (Quarter)</v>
      </c>
      <c r="B35" t="str">
        <v>PSR</v>
      </c>
      <c r="C35" t="str">
        <v>Price to Sales (Annual)</v>
      </c>
      <c r="D35" s="2">
        <f>IFERROR(INDEX(C51:C500,MATCH($A$35,$B$51:$B$500,0)),"")</f>
        <v>0</v>
      </c>
      <c r="H35" s="2">
        <f>IFERROR(INDEX(H51:H500,MATCH($C$35,$B$51:$B$500,0)),"")</f>
        <v>0</v>
      </c>
      <c r="I35" s="2">
        <f>IFERROR(INDEX(I51:I500,MATCH($C$35,$B$51:$B$500,0)),"")</f>
        <v>0</v>
      </c>
      <c r="J35" s="2">
        <f>IFERROR(INDEX(J51:J500,MATCH($C$35,$B$51:$B$500,0)),"")</f>
        <v>0</v>
      </c>
      <c r="K35" s="2">
        <f>IFERROR(INDEX(K51:K500,MATCH($C$35,$B$51:$B$500,0)),"")</f>
        <v>0</v>
      </c>
      <c r="L35" s="2">
        <f>IFERROR(INDEX(L51:L500,MATCH($C$35,$B$51:$B$500,0)),"")</f>
        <v>0</v>
      </c>
      <c r="M35" s="2">
        <f>IFERROR(INDEX(M51:M500,MATCH($C$35,$B$51:$B$500,0)),"")</f>
        <v>0</v>
      </c>
      <c r="N35" s="2">
        <f>IFERROR(INDEX(N51:N500,MATCH($C$35,$B$51:$B$500,0)),"")</f>
        <v>0</v>
      </c>
      <c r="O35" s="2">
        <f>IFERROR(INDEX(O51:O500,MATCH($C$35,$B$51:$B$500,0)),"")</f>
        <v>0</v>
      </c>
      <c r="P35" s="2">
        <f>IFERROR(INDEX(P51:P500,MATCH($C$35,$B$51:$B$500,0)),"")</f>
        <v>0</v>
      </c>
      <c r="Q35" s="2">
        <f>IFERROR(INDEX(Q51:Q500,MATCH($C$35,$B$51:$B$500,0)),"")</f>
        <v>0</v>
      </c>
      <c r="R35" s="2">
        <f>IFERROR(INDEX(R51:R500,MATCH($C$35,$B$51:$B$500,0)),"")</f>
        <v>0</v>
      </c>
      <c r="S35" s="2">
        <f>IFERROR(INDEX(S51:S500,MATCH($C$35,$B$51:$B$500,0)),"")</f>
        <v>0</v>
      </c>
      <c r="T35" s="2">
        <f>IFERROR(INDEX(T51:T500,MATCH($C$35,$B$51:$B$500,0)),"")</f>
        <v>0</v>
      </c>
      <c r="U35" s="2">
        <f>IFERROR(INDEX(U51:U500,MATCH($C$35,$B$51:$B$500,0)),"")</f>
        <v>0</v>
      </c>
      <c r="V35" s="2">
        <f>IFERROR(INDEX(V51:V500,MATCH($C$35,$B$51:$B$500,0)),"")</f>
        <v>0</v>
      </c>
      <c r="W35" s="2">
        <f>IFERROR(INDEX(W51:W500,MATCH($C$35,$B$51:$B$500,0)),"")</f>
        <v>0</v>
      </c>
      <c r="X35" s="2">
        <f>IFERROR(INDEX(X51:X500,MATCH($C$35,$B$51:$B$500,0)),"")</f>
        <v>0</v>
      </c>
      <c r="Y35" s="2">
        <f>IFERROR(INDEX(Y51:Y500,MATCH($C$35,$B$51:$B$500,0)),"")</f>
        <v>0</v>
      </c>
      <c r="Z35" s="2">
        <f>IFERROR(INDEX(Z51:Z500,MATCH($C$35,$B$51:$B$500,0)),"")</f>
        <v>0</v>
      </c>
    </row>
    <row r="36">
      <c r="B36" t="str">
        <v>DPR</v>
      </c>
      <c r="C36" t="str">
        <v>Net Income - Payout Ratio</v>
      </c>
      <c r="D36" s="2">
        <f>IFERROR(INDEX(D51:D500,MATCH($C$36,$B$51:$B$500,0)),"")</f>
        <v>0</v>
      </c>
      <c r="H36" s="2">
        <f>IFERROR(INDEX(H51:H500,MATCH($C$36,$B$51:$B$500,0)),"")</f>
        <v>0</v>
      </c>
      <c r="I36" s="2">
        <f>IFERROR(INDEX(I51:I500,MATCH($C$36,$B$51:$B$500,0)),"")</f>
        <v>0</v>
      </c>
      <c r="J36" s="2">
        <f>IFERROR(INDEX(J51:J500,MATCH($C$36,$B$51:$B$500,0)),"")</f>
        <v>0</v>
      </c>
      <c r="K36" s="2">
        <f>IFERROR(INDEX(K51:K500,MATCH($C$36,$B$51:$B$500,0)),"")</f>
        <v>0</v>
      </c>
      <c r="L36" s="2">
        <f>IFERROR(INDEX(L51:L500,MATCH($C$36,$B$51:$B$500,0)),"")</f>
        <v>0</v>
      </c>
      <c r="M36" s="2">
        <f>IFERROR(INDEX(M51:M500,MATCH($C$36,$B$51:$B$500,0)),"")</f>
        <v>0</v>
      </c>
      <c r="N36" s="2">
        <f>IFERROR(INDEX(N51:N500,MATCH($C$36,$B$51:$B$500,0)),"")</f>
        <v>0</v>
      </c>
      <c r="O36" s="2">
        <f>IFERROR(INDEX(O51:O500,MATCH($C$36,$B$51:$B$500,0)),"")</f>
        <v>0</v>
      </c>
      <c r="P36" s="2">
        <f>IFERROR(INDEX(P51:P500,MATCH($C$36,$B$51:$B$500,0)),"")</f>
        <v>0</v>
      </c>
      <c r="Q36" s="2">
        <f>IFERROR(INDEX(Q51:Q500,MATCH($C$36,$B$51:$B$500,0)),"")</f>
        <v>0</v>
      </c>
      <c r="R36" s="2">
        <f>IFERROR(INDEX(R51:R500,MATCH($C$36,$B$51:$B$500,0)),"")</f>
        <v>0</v>
      </c>
      <c r="S36" s="2">
        <f>IFERROR(INDEX(S51:S500,MATCH($C$36,$B$51:$B$500,0)),"")</f>
        <v>0</v>
      </c>
      <c r="T36" s="2">
        <f>IFERROR(INDEX(T51:T500,MATCH($C$36,$B$51:$B$500,0)),"")</f>
        <v>0</v>
      </c>
      <c r="U36" s="2">
        <f>IFERROR(INDEX(U51:U500,MATCH($C$36,$B$51:$B$500,0)),"")</f>
        <v>0</v>
      </c>
      <c r="V36" s="2">
        <f>IFERROR(INDEX(V51:V500,MATCH($C$36,$B$51:$B$500,0)),"")</f>
        <v>0</v>
      </c>
      <c r="W36" s="2">
        <f>IFERROR(INDEX(W51:W500,MATCH($C$36,$B$51:$B$500,0)),"")</f>
        <v>0</v>
      </c>
      <c r="X36" s="2">
        <f>IFERROR(INDEX(X51:X500,MATCH($C$36,$B$51:$B$500,0)),"")</f>
        <v>0</v>
      </c>
      <c r="Y36" s="2">
        <f>IFERROR(INDEX(Y51:Y500,MATCH($C$36,$B$51:$B$500,0)),"")</f>
        <v>0</v>
      </c>
      <c r="Z36" s="2">
        <f>IFERROR(INDEX(Z51:Z500,MATCH($C$36,$B$51:$B$500,0)),"")</f>
        <v>0</v>
      </c>
    </row>
    <row r="37">
      <c r="B37" t="str">
        <v>DPS</v>
      </c>
      <c r="C37" t="str">
        <v>EPS - Div (TTM)</v>
      </c>
      <c r="D37" s="2">
        <f>IFERROR(INDEX(D51:D500,MATCH($C$37,$B$51:$B$500,0)),"")</f>
        <v>0</v>
      </c>
      <c r="H37" s="2">
        <f>IFERROR(INDEX(H51:H500,MATCH($C$37,$B$51:$B$500,0)),"")</f>
        <v>0</v>
      </c>
      <c r="I37" s="2">
        <f>IFERROR(INDEX(I51:I500,MATCH($C$37,$B$51:$B$500,0)),"")</f>
        <v>0</v>
      </c>
      <c r="J37" s="2">
        <f>IFERROR(INDEX(J51:J500,MATCH($C$37,$B$51:$B$500,0)),"")</f>
        <v>0</v>
      </c>
      <c r="K37" s="2">
        <f>IFERROR(INDEX(K51:K500,MATCH($C$37,$B$51:$B$500,0)),"")</f>
        <v>0</v>
      </c>
      <c r="L37" s="2">
        <f>IFERROR(INDEX(L51:L500,MATCH($C$37,$B$51:$B$500,0)),"")</f>
        <v>0</v>
      </c>
      <c r="M37" s="2">
        <f>IFERROR(INDEX(M51:M500,MATCH($C$37,$B$51:$B$500,0)),"")</f>
        <v>0</v>
      </c>
      <c r="N37" s="2">
        <f>IFERROR(INDEX(N51:N500,MATCH($C$37,$B$51:$B$500,0)),"")</f>
        <v>0</v>
      </c>
      <c r="O37" s="2">
        <f>IFERROR(INDEX(O51:O500,MATCH($C$37,$B$51:$B$500,0)),"")</f>
        <v>0</v>
      </c>
      <c r="P37" s="2">
        <f>IFERROR(INDEX(P51:P500,MATCH($C$37,$B$51:$B$500,0)),"")</f>
        <v>0</v>
      </c>
      <c r="Q37" s="2">
        <f>IFERROR(INDEX(Q51:Q500,MATCH($C$37,$B$51:$B$500,0)),"")</f>
        <v>0</v>
      </c>
      <c r="R37" s="2">
        <f>IFERROR(INDEX(R51:R500,MATCH($C$37,$B$51:$B$500,0)),"")</f>
        <v>0</v>
      </c>
      <c r="S37" s="2">
        <f>IFERROR(INDEX(S51:S500,MATCH($C$37,$B$51:$B$500,0)),"")</f>
        <v>0</v>
      </c>
      <c r="T37" s="2">
        <f>IFERROR(INDEX(T51:T500,MATCH($C$37,$B$51:$B$500,0)),"")</f>
        <v>0</v>
      </c>
      <c r="U37" s="2">
        <f>IFERROR(INDEX(U51:U500,MATCH($C$37,$B$51:$B$500,0)),"")</f>
        <v>0</v>
      </c>
      <c r="V37" s="2">
        <f>IFERROR(INDEX(V51:V500,MATCH($C$37,$B$51:$B$500,0)),"")</f>
        <v>0</v>
      </c>
      <c r="W37" s="2">
        <f>IFERROR(INDEX(W51:W500,MATCH($C$37,$B$51:$B$500,0)),"")</f>
        <v>0</v>
      </c>
      <c r="X37" s="2">
        <f>IFERROR(INDEX(X51:X500,MATCH($C$37,$B$51:$B$500,0)),"")</f>
        <v>0</v>
      </c>
      <c r="Y37" s="2">
        <f>IFERROR(INDEX(Y51:Y500,MATCH($C$37,$B$51:$B$500,0)),"")</f>
        <v>0</v>
      </c>
      <c r="Z37" s="2">
        <f>IFERROR(INDEX(Z51:Z500,MATCH($C$37,$B$51:$B$500,0)),"")</f>
        <v>0</v>
      </c>
    </row>
    <row r="51">
      <c r="C51" t="str">
        <v>Q1 2026</v>
      </c>
      <c r="D51" t="str">
        <v>Q4 2025</v>
      </c>
      <c r="E51" t="str">
        <v>Q3 2025</v>
      </c>
      <c r="F51" t="str">
        <v>Q2 2025</v>
      </c>
      <c r="G51" t="str">
        <v>2026</v>
      </c>
      <c r="H51" t="str">
        <v>12M 2025</v>
      </c>
      <c r="I51" t="str">
        <v>12M 2024</v>
      </c>
      <c r="J51" t="str">
        <v>12M 2023</v>
      </c>
      <c r="K51" t="str">
        <v>12M 2022</v>
      </c>
      <c r="L51" t="str">
        <v>12M 2021</v>
      </c>
      <c r="M51" t="str">
        <v>12M 2020</v>
      </c>
      <c r="N51" t="str">
        <v>12M 2019</v>
      </c>
      <c r="O51" t="str">
        <v>12M 2018</v>
      </c>
      <c r="P51" t="str">
        <v>12M 2017</v>
      </c>
      <c r="Q51" t="str">
        <v>12M 2016</v>
      </c>
      <c r="R51" t="str">
        <v>12M 2015</v>
      </c>
      <c r="S51" t="str">
        <v>12M 2014</v>
      </c>
      <c r="T51" t="str">
        <v>12M 2013</v>
      </c>
      <c r="U51" t="str">
        <v>12M 2012</v>
      </c>
      <c r="V51" t="str">
        <v>12M 2011</v>
      </c>
      <c r="W51" t="str">
        <v>12M 2010</v>
      </c>
      <c r="X51" t="str">
        <v>12M 2009</v>
      </c>
      <c r="Y51" t="str">
        <v>12M 2008</v>
      </c>
    </row>
    <row r="52">
      <c r="A52" t="str">
        <v>Income Statement</v>
      </c>
      <c r="B52" t="str">
        <v>Total Pendapatan</v>
      </c>
      <c r="C52" s="2">
        <v>7501811000000</v>
      </c>
      <c r="D52" s="2">
        <v>6535932000000</v>
      </c>
      <c r="E52" s="2">
        <v>7671927000000</v>
      </c>
      <c r="F52" s="2">
        <v>7422828000000</v>
      </c>
      <c r="H52" s="2">
        <v>28654648000000</v>
      </c>
      <c r="I52" s="2">
        <v>21815035000000</v>
      </c>
      <c r="J52" s="2">
        <v>20745473000000</v>
      </c>
      <c r="K52" s="2">
        <v>21828591000000</v>
      </c>
      <c r="L52" s="2">
        <v>24322048000000</v>
      </c>
      <c r="M52" s="2">
        <v>18807043000000</v>
      </c>
      <c r="N52" s="2">
        <v>17452736000000</v>
      </c>
      <c r="O52" s="2">
        <v>19084387000000</v>
      </c>
      <c r="P52" s="2">
        <v>17305688000000</v>
      </c>
      <c r="Q52" s="2">
        <v>14121374000000</v>
      </c>
      <c r="R52" s="2">
        <v>13059216000000</v>
      </c>
      <c r="S52" s="2">
        <v>16305831000000</v>
      </c>
      <c r="T52" s="2">
        <v>12674999000000</v>
      </c>
      <c r="U52" s="2">
        <v>11564319000000</v>
      </c>
      <c r="V52" s="2">
        <v>10772582000000</v>
      </c>
      <c r="W52" s="2">
        <v>8843721000000</v>
      </c>
      <c r="X52" s="2">
        <v>7424283000000</v>
      </c>
      <c r="Y52" s="2">
        <v>8161217000000</v>
      </c>
    </row>
    <row r="53">
      <c r="B53" t="str">
        <v>Total Beban Pokok Penjualan</v>
      </c>
      <c r="C53" s="2">
        <v>-6339279000000</v>
      </c>
      <c r="D53" s="2">
        <v>-5166996000000</v>
      </c>
      <c r="E53" s="2">
        <v>-6657095000000</v>
      </c>
      <c r="F53" s="2">
        <v>-6112454000000</v>
      </c>
      <c r="H53" s="2">
        <v>-24023219000000</v>
      </c>
      <c r="I53" s="2">
        <v>-18474414000000</v>
      </c>
      <c r="J53" s="2">
        <v>-17974493000000</v>
      </c>
      <c r="K53" s="2">
        <v>-18006474000000</v>
      </c>
      <c r="L53" s="2">
        <v>-19492034000000</v>
      </c>
      <c r="M53" s="2">
        <v>-15844152000000</v>
      </c>
      <c r="N53" s="2">
        <v>-15308230000000</v>
      </c>
      <c r="O53" s="2">
        <v>-15544881000000</v>
      </c>
      <c r="P53" s="2">
        <v>-13160438000000</v>
      </c>
      <c r="Q53" s="2">
        <v>-10445360000000</v>
      </c>
      <c r="R53" s="2">
        <v>-9977118000000</v>
      </c>
      <c r="S53" s="2">
        <v>-11354037000000</v>
      </c>
      <c r="T53" s="2">
        <v>-8593064000000</v>
      </c>
      <c r="U53" s="2">
        <v>-7206837000000</v>
      </c>
      <c r="V53" s="2">
        <v>-6837674000000</v>
      </c>
      <c r="W53" s="2">
        <v>-5234372000000</v>
      </c>
      <c r="X53" s="2">
        <v>-4322498000000</v>
      </c>
      <c r="Y53" s="2">
        <v>-4357818000000</v>
      </c>
    </row>
    <row r="54">
      <c r="B54" t="str">
        <v>Laba Kotor</v>
      </c>
      <c r="C54" s="2">
        <v>1162532000000</v>
      </c>
      <c r="D54" s="2">
        <v>1368936000000</v>
      </c>
      <c r="E54" s="2">
        <v>1014832000000</v>
      </c>
      <c r="F54" s="2">
        <v>1310374000000</v>
      </c>
      <c r="H54" s="2">
        <v>4631429000000</v>
      </c>
      <c r="I54" s="2">
        <v>3340621000000</v>
      </c>
      <c r="J54" s="2">
        <v>2770980000000</v>
      </c>
      <c r="K54" s="2">
        <v>3822117000000</v>
      </c>
      <c r="L54" s="2">
        <v>4830014000000</v>
      </c>
      <c r="M54" s="2">
        <v>2962891000000</v>
      </c>
      <c r="N54" s="2">
        <v>2144506000000</v>
      </c>
      <c r="O54" s="2">
        <v>3539506000000</v>
      </c>
      <c r="P54" s="2">
        <v>4145250000000</v>
      </c>
      <c r="Q54" s="2">
        <v>3676014000000</v>
      </c>
      <c r="R54" s="2">
        <v>3082098000000</v>
      </c>
      <c r="S54" s="2">
        <v>4951794000000</v>
      </c>
      <c r="T54" s="2">
        <v>4081935000000</v>
      </c>
      <c r="U54" s="2">
        <v>4357482000000</v>
      </c>
      <c r="V54" s="2">
        <v>3934908000000</v>
      </c>
      <c r="W54" s="2">
        <v>3609349000000</v>
      </c>
      <c r="X54" s="2">
        <v>3101785000000</v>
      </c>
      <c r="Y54" s="2">
        <v>3803399000000</v>
      </c>
    </row>
    <row r="55">
      <c r="B55" t="str">
        <v>Total Beban Usaha</v>
      </c>
      <c r="C55" s="2">
        <v>-437939000000</v>
      </c>
      <c r="D55" s="2">
        <v>-511263000000</v>
      </c>
      <c r="E55" s="2">
        <v>-490482000000</v>
      </c>
      <c r="F55" s="2">
        <v>-752344000000</v>
      </c>
      <c r="H55" s="2">
        <v>-2214365000000</v>
      </c>
      <c r="I55" s="2">
        <v>-1682142000000</v>
      </c>
      <c r="J55" s="2">
        <v>-1519765000000</v>
      </c>
      <c r="K55" s="2">
        <v>-1461704000000</v>
      </c>
      <c r="L55" s="2">
        <v>-1400356000000</v>
      </c>
      <c r="M55" s="2">
        <v>-1120734000000</v>
      </c>
      <c r="N55" s="2">
        <v>-1184198000000</v>
      </c>
      <c r="O55" s="2">
        <v>-1213600000000</v>
      </c>
      <c r="P55" s="2">
        <v>-1094351000000</v>
      </c>
      <c r="Q55" s="2">
        <v>-1017406000000</v>
      </c>
      <c r="R55" s="2">
        <v>-1228945000000</v>
      </c>
      <c r="S55" s="2">
        <v>-1229434000000</v>
      </c>
      <c r="T55" s="2">
        <v>-1077389000000</v>
      </c>
      <c r="U55" s="2">
        <v>-903753000000</v>
      </c>
      <c r="V55" s="2">
        <v>-739247000000</v>
      </c>
      <c r="W55" s="2">
        <v>-610638000000</v>
      </c>
      <c r="X55" s="2">
        <v>-491567000000</v>
      </c>
      <c r="Y55" s="2">
        <v>-426055000000</v>
      </c>
    </row>
    <row r="56">
      <c r="B56" t="str">
        <v>Beban Penjualan</v>
      </c>
      <c r="C56" s="2">
        <v>-119616000000</v>
      </c>
      <c r="D56" s="2">
        <v>-120456000000</v>
      </c>
      <c r="E56" s="2">
        <v>539934000000</v>
      </c>
      <c r="F56" s="2">
        <v>-811763000000</v>
      </c>
      <c r="H56" s="2">
        <v>-529103000000</v>
      </c>
      <c r="I56" s="2">
        <v>-520193000000</v>
      </c>
      <c r="J56" s="2">
        <v>-611396000000</v>
      </c>
      <c r="K56" s="2">
        <v>-578728000000</v>
      </c>
      <c r="L56" s="2">
        <v>-421399000000</v>
      </c>
      <c r="M56" s="2">
        <v>-416725000000</v>
      </c>
      <c r="N56" s="2">
        <v>-460839000000</v>
      </c>
      <c r="O56" s="2">
        <v>-427554000000</v>
      </c>
      <c r="P56" s="2">
        <v>-337933000000</v>
      </c>
      <c r="Q56" s="2">
        <v>-340780000000</v>
      </c>
      <c r="R56" s="2">
        <v>-537533000000</v>
      </c>
      <c r="S56" s="2">
        <v>-546886000000</v>
      </c>
      <c r="T56" s="2">
        <v>-586042000000</v>
      </c>
      <c r="U56" s="2">
        <v>-381451000000</v>
      </c>
      <c r="V56" s="2">
        <v>-291269000000</v>
      </c>
      <c r="W56" s="2">
        <v>-206527000000</v>
      </c>
      <c r="X56" s="2">
        <v>-173305000000</v>
      </c>
      <c r="Y56" s="2">
        <v>-161273000000</v>
      </c>
    </row>
    <row r="57">
      <c r="B57" t="str">
        <v>Beban Umum Dan Administra...</v>
      </c>
      <c r="C57" s="2">
        <v>-318323000000</v>
      </c>
      <c r="D57" s="2">
        <v>-390807000000</v>
      </c>
      <c r="E57" s="2">
        <v>-1030416000000</v>
      </c>
      <c r="F57" s="2">
        <v>59419000000</v>
      </c>
      <c r="H57" s="2">
        <v>-1685262000000</v>
      </c>
      <c r="I57" s="2">
        <v>-1161949000000</v>
      </c>
      <c r="J57" s="2">
        <v>-908369000000</v>
      </c>
      <c r="K57" s="2">
        <v>-882976000000</v>
      </c>
      <c r="L57" s="2">
        <v>-978957000000</v>
      </c>
      <c r="M57" s="2">
        <v>-704009000000</v>
      </c>
      <c r="N57" s="2">
        <v>-723359000000</v>
      </c>
      <c r="O57" s="2">
        <v>-786046000000</v>
      </c>
      <c r="P57" s="2">
        <v>-756418000000</v>
      </c>
      <c r="Q57" s="2">
        <v>-676626000000</v>
      </c>
      <c r="R57" s="2">
        <v>-691412000000</v>
      </c>
      <c r="S57" s="2">
        <v>-682548000000</v>
      </c>
      <c r="T57" s="2">
        <v>-491347000000</v>
      </c>
      <c r="U57" s="2">
        <v>-522302000000</v>
      </c>
      <c r="V57" s="2">
        <v>-447978000000</v>
      </c>
      <c r="W57" s="2">
        <v>-404111000000</v>
      </c>
      <c r="X57" s="2">
        <v>-318262000000</v>
      </c>
      <c r="Y57" s="2">
        <v>-264782000000</v>
      </c>
    </row>
    <row r="58">
      <c r="B58" t="str">
        <v>Laba Usaha</v>
      </c>
      <c r="C58" s="2">
        <v>724593000000</v>
      </c>
      <c r="D58" s="2">
        <v>857673000000</v>
      </c>
      <c r="E58" s="2">
        <v>524350000000</v>
      </c>
      <c r="F58" s="2">
        <v>558030000000</v>
      </c>
      <c r="H58" s="2">
        <v>2417064000000</v>
      </c>
      <c r="I58" s="2">
        <v>1658479000000</v>
      </c>
      <c r="J58" s="2">
        <v>1251215000000</v>
      </c>
      <c r="K58" s="2">
        <v>2360413000000</v>
      </c>
      <c r="L58" s="2">
        <v>3429658000000</v>
      </c>
      <c r="M58" s="2">
        <v>1842157000000</v>
      </c>
      <c r="N58" s="2">
        <v>960308000000</v>
      </c>
      <c r="O58" s="2">
        <v>2325906000000</v>
      </c>
      <c r="P58" s="2">
        <v>3050899000000</v>
      </c>
      <c r="Q58" s="2">
        <v>2658608000000</v>
      </c>
      <c r="R58" s="2">
        <v>1853153000000</v>
      </c>
      <c r="S58" s="2">
        <v>3722360000000</v>
      </c>
      <c r="T58" s="2">
        <v>3004546000000</v>
      </c>
      <c r="U58" s="2">
        <v>3453729000000</v>
      </c>
      <c r="V58" s="2">
        <v>3195661000000</v>
      </c>
      <c r="W58" s="2">
        <v>2998711000000</v>
      </c>
      <c r="X58" s="2">
        <v>2610218000000</v>
      </c>
      <c r="Y58" s="2">
        <v>3377344000000</v>
      </c>
    </row>
    <row r="59">
      <c r="B59" t="str">
        <v>Penghasilan/Beban Lain-Lain</v>
      </c>
      <c r="C59" s="2">
        <v>-184588000000</v>
      </c>
      <c r="D59" s="2">
        <v>-187042000000</v>
      </c>
      <c r="E59" s="2">
        <v>42028000000</v>
      </c>
      <c r="F59" s="2">
        <v>60891000000</v>
      </c>
      <c r="H59" s="2">
        <v>-190336000000</v>
      </c>
      <c r="I59" s="2">
        <v>48649000000</v>
      </c>
      <c r="J59" s="2">
        <v>247187000000</v>
      </c>
      <c r="K59" s="2">
        <v>68765000000</v>
      </c>
      <c r="L59" s="2">
        <v>-516489000000</v>
      </c>
      <c r="M59" s="2">
        <v>-379522000000</v>
      </c>
      <c r="N59" s="2">
        <v>-299448000000</v>
      </c>
      <c r="O59" s="2">
        <v>-118826000000</v>
      </c>
      <c r="P59" s="2">
        <v>-112394000000</v>
      </c>
      <c r="Q59" s="2">
        <v>-449830000000</v>
      </c>
      <c r="R59" s="2">
        <v>-677640000000</v>
      </c>
      <c r="S59" s="2">
        <v>-32370000000</v>
      </c>
      <c r="T59" s="2">
        <v>-399475000000</v>
      </c>
      <c r="U59" s="2">
        <v>71164000000</v>
      </c>
      <c r="V59" s="2">
        <v>137271000000</v>
      </c>
      <c r="W59" s="2">
        <v>-34671000000</v>
      </c>
      <c r="X59" s="2">
        <v>-109792000000</v>
      </c>
      <c r="Y59" s="2">
        <v>572091000000</v>
      </c>
    </row>
    <row r="60">
      <c r="B60" t="str">
        <v>Beban Keuangan</v>
      </c>
      <c r="C60" s="2">
        <v>-878000000</v>
      </c>
      <c r="D60" s="2">
        <v>318000000</v>
      </c>
      <c r="E60" s="2">
        <v>-41899000000</v>
      </c>
      <c r="F60" s="2">
        <v>-48891000000</v>
      </c>
      <c r="H60" s="2">
        <v>-139258000000</v>
      </c>
      <c r="I60" s="2">
        <v>-264688000000</v>
      </c>
      <c r="J60" s="2">
        <v>-268262000000</v>
      </c>
      <c r="K60" s="2">
        <v>-366449000000</v>
      </c>
      <c r="L60" s="2">
        <v>-394499000000</v>
      </c>
      <c r="M60" s="2">
        <v>-418290000000</v>
      </c>
      <c r="N60" s="2">
        <v>-350337000000</v>
      </c>
      <c r="O60" s="2">
        <v>-225057000000</v>
      </c>
      <c r="P60" s="2">
        <v>-132446000000</v>
      </c>
      <c r="Q60" s="2">
        <v>-144873000000</v>
      </c>
      <c r="R60" s="2">
        <v>-125509000000</v>
      </c>
      <c r="S60" s="2">
        <v>-96080000000</v>
      </c>
      <c r="T60" s="2">
        <v>-443782000000</v>
      </c>
      <c r="U60" s="2">
        <v>-29196000000</v>
      </c>
      <c r="V60" s="2">
        <v>-5806000000</v>
      </c>
      <c r="W60" s="2">
        <v>-8258000000</v>
      </c>
      <c r="X60" s="2">
        <v>-30617000000</v>
      </c>
      <c r="Y60" s="2">
        <v>-179000000</v>
      </c>
    </row>
    <row r="61">
      <c r="B61" t="str">
        <v>Bagian Atas Hasil Bersih ...</v>
      </c>
      <c r="C61" s="2">
        <v>4683000000</v>
      </c>
      <c r="D61" s="2">
        <v>-88817000000</v>
      </c>
      <c r="E61" s="2">
        <v>58758000000</v>
      </c>
      <c r="F61" s="2">
        <v>-28130000000</v>
      </c>
      <c r="H61" s="2">
        <v>-77549000000</v>
      </c>
      <c r="I61" s="2">
        <v>-19421000000</v>
      </c>
      <c r="J61" s="2">
        <v>19835000000</v>
      </c>
      <c r="K61" s="2">
        <v>215627000000</v>
      </c>
      <c r="L61" s="2">
        <v>113159000000</v>
      </c>
      <c r="M61" s="2">
        <v>88463000000</v>
      </c>
      <c r="N61" s="2">
        <v>-5899000000</v>
      </c>
      <c r="O61" s="2">
        <v>-15069000000</v>
      </c>
      <c r="P61" s="2">
        <v>-83652000000</v>
      </c>
      <c r="Q61" s="2">
        <v>-12528000000</v>
      </c>
      <c r="R61" s="2">
        <v>5002000000</v>
      </c>
      <c r="S61" s="2">
        <v>20831000000</v>
      </c>
    </row>
    <row r="62">
      <c r="B62" t="str">
        <v>Laba (Rugi) Selisih Kurs</v>
      </c>
      <c r="C62" s="2">
        <v>-34499000000</v>
      </c>
      <c r="D62" s="2">
        <v>99926000000</v>
      </c>
      <c r="E62" s="2">
        <v>-44021000000</v>
      </c>
      <c r="F62" s="2">
        <v>28425000000</v>
      </c>
      <c r="H62" s="2">
        <v>44160000000</v>
      </c>
      <c r="I62" s="2">
        <v>-8400000000</v>
      </c>
      <c r="J62" s="2">
        <v>-17580000000</v>
      </c>
      <c r="K62" s="2">
        <v>50407000000</v>
      </c>
      <c r="L62" s="2">
        <v>65382000000</v>
      </c>
      <c r="M62" s="2">
        <v>33048000000</v>
      </c>
      <c r="N62" s="2">
        <v>-34652000000</v>
      </c>
      <c r="O62" s="2">
        <v>66114000000</v>
      </c>
      <c r="P62" s="2">
        <v>4912000000</v>
      </c>
      <c r="Q62" s="2">
        <v>200613000000</v>
      </c>
      <c r="R62" s="2">
        <v>-580368000000</v>
      </c>
      <c r="S62" s="2">
        <v>-126680000000</v>
      </c>
      <c r="T62" s="2">
        <v>-72414000000</v>
      </c>
      <c r="U62" s="2">
        <v>-826000000</v>
      </c>
      <c r="V62" s="2">
        <v>433000000</v>
      </c>
      <c r="W62" s="2">
        <v>-27964000000</v>
      </c>
      <c r="X62" s="2">
        <v>-111154000000</v>
      </c>
      <c r="Y62" s="2">
        <v>78310000000</v>
      </c>
    </row>
    <row r="63">
      <c r="B63" t="str">
        <v>Pendapatan Keuangan</v>
      </c>
      <c r="C63" s="2">
        <v>34885000000</v>
      </c>
      <c r="D63" s="2">
        <v>46236000000</v>
      </c>
      <c r="E63" s="2">
        <v>95507000000</v>
      </c>
      <c r="F63" s="2">
        <v>75985000000</v>
      </c>
      <c r="H63" s="2">
        <v>279792000000</v>
      </c>
      <c r="I63" s="2">
        <v>211496000000</v>
      </c>
      <c r="J63" s="2">
        <v>92317000000</v>
      </c>
      <c r="K63" s="2">
        <v>82401000000</v>
      </c>
      <c r="L63" s="2">
        <v>62793000000</v>
      </c>
      <c r="M63" s="2">
        <v>51002000000</v>
      </c>
      <c r="N63" s="2">
        <v>30214000000</v>
      </c>
      <c r="O63" s="2">
        <v>25774000000</v>
      </c>
      <c r="P63" s="2">
        <v>24005000000</v>
      </c>
      <c r="Q63" s="2">
        <v>25588000000</v>
      </c>
      <c r="R63" s="2">
        <v>27776000000</v>
      </c>
      <c r="S63" s="2">
        <v>23016000000</v>
      </c>
      <c r="T63" s="2">
        <v>18028000000</v>
      </c>
      <c r="U63" s="2">
        <v>22016000000</v>
      </c>
      <c r="V63" s="2">
        <v>93433000000</v>
      </c>
      <c r="W63" s="2">
        <v>39263000000</v>
      </c>
      <c r="X63" s="2">
        <v>58024000000</v>
      </c>
      <c r="Y63" s="2">
        <v>129424000000</v>
      </c>
    </row>
    <row r="64">
      <c r="B64" t="str">
        <v>Others</v>
      </c>
      <c r="C64" s="2">
        <v>14640000000</v>
      </c>
      <c r="D64" s="2">
        <v>24471000000</v>
      </c>
      <c r="E64" s="2">
        <v>17330000000</v>
      </c>
      <c r="F64" s="2">
        <v>17078000000</v>
      </c>
      <c r="H64" s="2">
        <v>66770000000</v>
      </c>
      <c r="I64" s="2">
        <v>38021000000</v>
      </c>
      <c r="J64" s="2">
        <v>32567000000</v>
      </c>
      <c r="K64" s="2">
        <v>66513000000</v>
      </c>
      <c r="L64" s="2">
        <v>96580000000</v>
      </c>
      <c r="M64" s="2">
        <v>60767000000</v>
      </c>
      <c r="N64" s="2">
        <v>32123000000</v>
      </c>
      <c r="O64" s="2">
        <v>82875000000</v>
      </c>
      <c r="P64" s="2">
        <v>102923000000</v>
      </c>
      <c r="Q64" s="2">
        <v>109138000000</v>
      </c>
      <c r="R64" s="2">
        <v>77111000000</v>
      </c>
      <c r="S64" s="2">
        <v>116569000000</v>
      </c>
      <c r="T64" s="2">
        <v>102359000000</v>
      </c>
      <c r="U64" s="2">
        <v>107451000000</v>
      </c>
      <c r="V64" s="2">
        <v>93001000000</v>
      </c>
    </row>
    <row r="65">
      <c r="B65" t="str">
        <v>Total Penghasilan/Beban Lain-...</v>
      </c>
      <c r="C65" s="2">
        <v>-184588000000</v>
      </c>
      <c r="D65" s="2">
        <v>-187042000000</v>
      </c>
      <c r="E65" s="2">
        <v>42028000000</v>
      </c>
      <c r="F65" s="2">
        <v>60891000000</v>
      </c>
      <c r="H65" s="2">
        <v>-190336000000</v>
      </c>
      <c r="I65" s="2">
        <v>48649000000</v>
      </c>
      <c r="J65" s="2">
        <v>247187000000</v>
      </c>
      <c r="K65" s="2">
        <v>68765000000</v>
      </c>
      <c r="L65" s="2">
        <v>-516489000000</v>
      </c>
      <c r="M65" s="2">
        <v>-379522000000</v>
      </c>
      <c r="N65" s="2">
        <v>-299448000000</v>
      </c>
      <c r="O65" s="2">
        <v>-118826000000</v>
      </c>
      <c r="P65" s="2">
        <v>-112394000000</v>
      </c>
      <c r="Q65" s="2">
        <v>-449830000000</v>
      </c>
      <c r="R65" s="2">
        <v>-677640000000</v>
      </c>
      <c r="S65" s="2">
        <v>-32370000000</v>
      </c>
      <c r="T65" s="2">
        <v>-399475000000</v>
      </c>
      <c r="U65" s="2">
        <v>71164000000</v>
      </c>
      <c r="V65" s="2">
        <v>137271000000</v>
      </c>
      <c r="W65" s="2">
        <v>-34671000000</v>
      </c>
      <c r="X65" s="2">
        <v>-109792000000</v>
      </c>
      <c r="Y65" s="2">
        <v>572091000000</v>
      </c>
    </row>
    <row r="66">
      <c r="B66" t="str">
        <v>Laba Sebelum Pajak</v>
      </c>
      <c r="C66" s="2">
        <v>540005000000</v>
      </c>
      <c r="D66" s="2">
        <v>670631000000</v>
      </c>
      <c r="E66" s="2">
        <v>566378000000</v>
      </c>
      <c r="F66" s="2">
        <v>618921000000</v>
      </c>
      <c r="H66" s="2">
        <v>2226728000000</v>
      </c>
      <c r="I66" s="2">
        <v>1707128000000</v>
      </c>
      <c r="J66" s="2">
        <v>1498402000000</v>
      </c>
      <c r="K66" s="2">
        <v>2429178000000</v>
      </c>
      <c r="L66" s="2">
        <v>2913169000000</v>
      </c>
      <c r="M66" s="2">
        <v>1462635000000</v>
      </c>
      <c r="N66" s="2">
        <v>660860000000</v>
      </c>
      <c r="O66" s="2">
        <v>2207080000000</v>
      </c>
      <c r="P66" s="2">
        <v>2938505000000</v>
      </c>
      <c r="Q66" s="2">
        <v>2208778000000</v>
      </c>
      <c r="R66" s="2">
        <v>1175513000000</v>
      </c>
      <c r="S66" s="2">
        <v>3689990000000</v>
      </c>
      <c r="T66" s="2">
        <v>2605071000000</v>
      </c>
      <c r="U66" s="2">
        <v>3524893000000</v>
      </c>
      <c r="V66" s="2">
        <v>3332932000000</v>
      </c>
      <c r="W66" s="2">
        <v>2964040000000</v>
      </c>
      <c r="X66" s="2">
        <v>2500426000000</v>
      </c>
      <c r="Y66" s="2">
        <v>3949435000000</v>
      </c>
    </row>
    <row r="67">
      <c r="B67" t="str">
        <v>Beban Pajak Penghasilan</v>
      </c>
      <c r="C67" s="2">
        <v>-151604000000</v>
      </c>
      <c r="D67" s="2">
        <v>-245414000000</v>
      </c>
      <c r="E67" s="2">
        <v>-181054000000</v>
      </c>
      <c r="F67" s="2">
        <v>-176754000000</v>
      </c>
      <c r="H67" s="2">
        <v>-689097000000</v>
      </c>
      <c r="I67" s="2">
        <v>-520345000000</v>
      </c>
      <c r="J67" s="2">
        <v>-410232000000</v>
      </c>
      <c r="K67" s="2">
        <v>-637128000000</v>
      </c>
      <c r="L67" s="2">
        <v>-845807000000</v>
      </c>
      <c r="M67" s="2">
        <v>-568856000000</v>
      </c>
      <c r="N67" s="2">
        <v>-417231000000</v>
      </c>
      <c r="O67" s="2">
        <v>-686357000000</v>
      </c>
      <c r="P67" s="2">
        <v>-824876000000</v>
      </c>
      <c r="Q67" s="2">
        <v>-94479000000</v>
      </c>
      <c r="R67" s="2">
        <v>-479829000000</v>
      </c>
      <c r="S67" s="2">
        <v>-1068715000000</v>
      </c>
      <c r="T67" s="2">
        <v>-701983000000</v>
      </c>
      <c r="U67" s="2">
        <v>-1004627000000</v>
      </c>
      <c r="V67" s="2">
        <v>-834367000000</v>
      </c>
      <c r="W67" s="2">
        <v>-860388000000</v>
      </c>
      <c r="X67" s="2">
        <v>-770778000000</v>
      </c>
      <c r="Y67" s="2">
        <v>-1233917000000</v>
      </c>
    </row>
    <row r="68">
      <c r="B68" t="str">
        <v>Laba Bersih Dari Operasi Yang D...</v>
      </c>
      <c r="W68" s="2">
        <v>2103652000000</v>
      </c>
      <c r="X68" s="2">
        <v>1729648000000</v>
      </c>
      <c r="Y68" s="2">
        <v>2715518000000</v>
      </c>
    </row>
    <row r="69">
      <c r="B69" t="str">
        <v>Hak Minoritas</v>
      </c>
      <c r="W69" s="2">
        <v>-86872000000</v>
      </c>
      <c r="X69" s="2">
        <v>-68999000000</v>
      </c>
      <c r="Y69" s="2">
        <v>-84499000000</v>
      </c>
    </row>
    <row r="70">
      <c r="B70" t="str">
        <v>Laba Bersih Tahun Berjalan</v>
      </c>
      <c r="C70" s="2">
        <v>388401000000</v>
      </c>
      <c r="D70" s="2">
        <v>425217000000</v>
      </c>
      <c r="E70" s="2">
        <v>385324000000</v>
      </c>
      <c r="F70" s="2">
        <v>442167000000</v>
      </c>
      <c r="H70" s="2">
        <v>1537631000000</v>
      </c>
      <c r="I70" s="2">
        <v>1186783000000</v>
      </c>
      <c r="J70" s="2">
        <v>1088170000000</v>
      </c>
      <c r="K70" s="2">
        <v>1792050000000</v>
      </c>
      <c r="L70" s="2">
        <v>2067362000000</v>
      </c>
      <c r="M70" s="2">
        <v>893779000000</v>
      </c>
      <c r="N70" s="2">
        <v>243629000000</v>
      </c>
      <c r="O70" s="2">
        <v>1520723000000</v>
      </c>
      <c r="P70" s="2">
        <v>2113629000000</v>
      </c>
      <c r="Q70" s="2">
        <v>2114299000000</v>
      </c>
      <c r="R70" s="2">
        <v>695684000000</v>
      </c>
      <c r="S70" s="2">
        <v>2621275000000</v>
      </c>
      <c r="T70" s="2">
        <v>1903088000000</v>
      </c>
      <c r="U70" s="2">
        <v>2520266000000</v>
      </c>
      <c r="V70" s="2">
        <v>2498565000000</v>
      </c>
      <c r="W70" s="2">
        <v>2016780000000</v>
      </c>
      <c r="X70" s="2">
        <v>1660649000000</v>
      </c>
      <c r="Y70" s="2">
        <v>2631019000000</v>
      </c>
    </row>
    <row r="71">
      <c r="B71" t="str">
        <v>Pendapatan Komprehensif Lain</v>
      </c>
      <c r="C71" s="2">
        <v>-12518000000</v>
      </c>
      <c r="D71" s="2">
        <v>34237000000</v>
      </c>
      <c r="H71" s="2">
        <v>34237000000</v>
      </c>
      <c r="I71" s="2">
        <v>-43641000000</v>
      </c>
      <c r="J71" s="2">
        <v>48204000000</v>
      </c>
      <c r="K71" s="2">
        <v>193870000000</v>
      </c>
      <c r="L71" s="2">
        <v>386712000000</v>
      </c>
      <c r="M71" s="2">
        <v>-426526000000</v>
      </c>
      <c r="N71" s="2">
        <v>-248852000000</v>
      </c>
      <c r="O71" s="2">
        <v>151293000000</v>
      </c>
      <c r="P71" s="2">
        <v>-49614000000</v>
      </c>
      <c r="Q71" s="2">
        <v>65488000000</v>
      </c>
      <c r="R71" s="2">
        <v>-6281000000</v>
      </c>
      <c r="S71" s="2">
        <v>-36630000000</v>
      </c>
      <c r="T71" s="2">
        <v>33162000000</v>
      </c>
      <c r="U71" s="2">
        <v>-66612000000</v>
      </c>
    </row>
    <row r="72">
      <c r="B72" t="str">
        <v>Total Pendapatan Komprehensif...</v>
      </c>
      <c r="C72" s="2">
        <v>-12518000000</v>
      </c>
      <c r="D72" s="2">
        <v>34237000000</v>
      </c>
      <c r="H72" s="2">
        <v>34237000000</v>
      </c>
      <c r="I72" s="2">
        <v>-43641000000</v>
      </c>
      <c r="J72" s="2">
        <v>48204000000</v>
      </c>
      <c r="K72" s="2">
        <v>193870000000</v>
      </c>
      <c r="L72" s="2">
        <v>386712000000</v>
      </c>
      <c r="M72" s="2">
        <v>-426526000000</v>
      </c>
      <c r="N72" s="2">
        <v>-248852000000</v>
      </c>
      <c r="O72" s="2">
        <v>151293000000</v>
      </c>
      <c r="P72" s="2">
        <v>-49614000000</v>
      </c>
      <c r="Q72" s="2">
        <v>65488000000</v>
      </c>
      <c r="R72" s="2">
        <v>-6281000000</v>
      </c>
      <c r="S72" s="2">
        <v>-36630000000</v>
      </c>
      <c r="T72" s="2">
        <v>33162000000</v>
      </c>
      <c r="U72" s="2">
        <v>-66612000000</v>
      </c>
    </row>
    <row r="73">
      <c r="B73" t="str">
        <v>Jumlah Laba Komprehensif</v>
      </c>
      <c r="C73" s="2">
        <v>375883000000</v>
      </c>
      <c r="D73" s="2">
        <v>459454000000</v>
      </c>
      <c r="E73" s="2">
        <v>385324000000</v>
      </c>
      <c r="F73" s="2">
        <v>442167000000</v>
      </c>
      <c r="H73" s="2">
        <v>1571868000000</v>
      </c>
      <c r="I73" s="2">
        <v>1143142000000</v>
      </c>
      <c r="J73" s="2">
        <v>1136374000000</v>
      </c>
      <c r="K73" s="2">
        <v>1985920000000</v>
      </c>
      <c r="L73" s="2">
        <v>2454074000000</v>
      </c>
      <c r="M73" s="2">
        <v>467253000000</v>
      </c>
      <c r="N73" s="2">
        <v>-5223000000</v>
      </c>
      <c r="O73" s="2">
        <v>1672016000000</v>
      </c>
      <c r="P73" s="2">
        <v>2064015000000</v>
      </c>
      <c r="Q73" s="2">
        <v>2179787000000</v>
      </c>
      <c r="R73" s="2">
        <v>689403000000</v>
      </c>
      <c r="S73" s="2">
        <v>2584645000000</v>
      </c>
      <c r="T73" s="2">
        <v>1936250000000</v>
      </c>
      <c r="U73" s="2">
        <v>2453654000000</v>
      </c>
      <c r="V73" s="2">
        <v>2498565000000</v>
      </c>
    </row>
    <row r="74">
      <c r="B74" t="str">
        <v>Laba Bersih Yang Dapat Diatribu...</v>
      </c>
      <c r="C74" s="2">
        <v>388401000000</v>
      </c>
      <c r="D74" s="2">
        <v>425217000000</v>
      </c>
      <c r="E74" s="2">
        <v>385324000000</v>
      </c>
      <c r="F74" s="2">
        <v>442167000000</v>
      </c>
      <c r="H74" s="2">
        <v>1537631000000</v>
      </c>
      <c r="I74" s="2">
        <v>1186783000000</v>
      </c>
      <c r="J74" s="2">
        <v>1088170000000</v>
      </c>
      <c r="K74" s="2">
        <v>1792050000000</v>
      </c>
      <c r="L74" s="2">
        <v>2067362000000</v>
      </c>
      <c r="M74" s="2">
        <v>893779000000</v>
      </c>
      <c r="N74" s="2">
        <v>243629000000</v>
      </c>
      <c r="O74" s="2">
        <v>1520723000000</v>
      </c>
      <c r="P74" s="2">
        <v>2113629000000</v>
      </c>
      <c r="Q74" s="2">
        <v>2114299000000</v>
      </c>
      <c r="R74" s="2">
        <v>695684000000</v>
      </c>
      <c r="S74" s="2">
        <v>2621275000000</v>
      </c>
      <c r="T74" s="2">
        <v>1903088000000</v>
      </c>
      <c r="U74" s="2">
        <v>2520266000000</v>
      </c>
      <c r="V74" s="2">
        <v>2498565000000</v>
      </c>
      <c r="W74" s="2">
        <v>2016780000000</v>
      </c>
      <c r="X74" s="2">
        <v>1660649000000</v>
      </c>
      <c r="Y74" s="2">
        <v>2631019000000</v>
      </c>
    </row>
    <row r="75">
      <c r="B75" t="str">
        <v>Pemilik Entitas Induk</v>
      </c>
      <c r="C75" s="2">
        <v>361243000000</v>
      </c>
      <c r="D75" s="2">
        <v>434983000000</v>
      </c>
      <c r="E75" s="2">
        <v>367994000000</v>
      </c>
      <c r="F75" s="2">
        <v>425089000000</v>
      </c>
      <c r="H75" s="2">
        <v>1505098000000</v>
      </c>
      <c r="I75" s="2">
        <v>1105121000000</v>
      </c>
      <c r="J75" s="2">
        <v>1103807000000</v>
      </c>
      <c r="K75" s="2">
        <v>1919407000000</v>
      </c>
      <c r="L75" s="2">
        <v>2357494000000</v>
      </c>
      <c r="M75" s="2">
        <v>406486000000</v>
      </c>
      <c r="N75" s="2">
        <v>-37346000000</v>
      </c>
      <c r="O75" s="2">
        <v>1589141000000</v>
      </c>
      <c r="P75" s="2">
        <v>1961092000000</v>
      </c>
      <c r="Q75" s="2">
        <v>2070649000000</v>
      </c>
      <c r="R75" s="2">
        <v>612292000000</v>
      </c>
      <c r="S75" s="2">
        <v>2468076000000</v>
      </c>
      <c r="T75" s="2">
        <v>1833891000000</v>
      </c>
      <c r="U75" s="2">
        <v>2346203000000</v>
      </c>
      <c r="V75" s="2">
        <v>2405564000000</v>
      </c>
    </row>
    <row r="76">
      <c r="B76" t="str">
        <v>Total Laba Bersih Yang Dapat ...</v>
      </c>
      <c r="C76" s="2">
        <v>388401000000</v>
      </c>
      <c r="D76" s="2">
        <v>425217000000</v>
      </c>
      <c r="E76" s="2">
        <v>385324000000</v>
      </c>
      <c r="F76" s="2">
        <v>442167000000</v>
      </c>
      <c r="H76" s="2">
        <v>1537631000000</v>
      </c>
      <c r="I76" s="2">
        <v>1186783000000</v>
      </c>
      <c r="J76" s="2">
        <v>1088170000000</v>
      </c>
      <c r="K76" s="2">
        <v>1792050000000</v>
      </c>
      <c r="L76" s="2">
        <v>2067362000000</v>
      </c>
      <c r="M76" s="2">
        <v>893779000000</v>
      </c>
      <c r="N76" s="2">
        <v>243629000000</v>
      </c>
      <c r="O76" s="2">
        <v>1520723000000</v>
      </c>
      <c r="P76" s="2">
        <v>2113629000000</v>
      </c>
      <c r="Q76" s="2">
        <v>2114299000000</v>
      </c>
      <c r="R76" s="2">
        <v>695684000000</v>
      </c>
      <c r="S76" s="2">
        <v>2621275000000</v>
      </c>
      <c r="T76" s="2">
        <v>1903088000000</v>
      </c>
      <c r="U76" s="2">
        <v>2520266000000</v>
      </c>
      <c r="V76" s="2">
        <v>2498565000000</v>
      </c>
      <c r="W76" s="2">
        <v>2016780000000</v>
      </c>
      <c r="X76" s="2">
        <v>1660649000000</v>
      </c>
      <c r="Y76" s="2">
        <v>2631019000000</v>
      </c>
    </row>
    <row r="77">
      <c r="B77" t="str">
        <v>Laba Komprehensif Yang Dapat Di...</v>
      </c>
      <c r="C77" s="2">
        <v>375883000000</v>
      </c>
      <c r="D77" s="2">
        <v>459454000000</v>
      </c>
      <c r="E77" s="2">
        <v>385324000000</v>
      </c>
      <c r="F77" s="2">
        <v>442167000000</v>
      </c>
      <c r="H77" s="2">
        <v>1571868000000</v>
      </c>
      <c r="I77" s="2">
        <v>1143142000000</v>
      </c>
      <c r="J77" s="2">
        <v>1136374000000</v>
      </c>
      <c r="K77" s="2">
        <v>1985920000000</v>
      </c>
      <c r="L77" s="2">
        <v>2454074000000</v>
      </c>
      <c r="M77" s="2">
        <v>467253000000</v>
      </c>
      <c r="N77" s="2">
        <v>-5223000000</v>
      </c>
      <c r="O77" s="2">
        <v>1672016000000</v>
      </c>
      <c r="P77" s="2">
        <v>2064015000000</v>
      </c>
      <c r="Q77" s="2">
        <v>2179787000000</v>
      </c>
      <c r="R77" s="2">
        <v>689403000000</v>
      </c>
      <c r="S77" s="2">
        <v>2584645000000</v>
      </c>
      <c r="T77" s="2">
        <v>1936250000000</v>
      </c>
      <c r="U77" s="2">
        <v>2453654000000</v>
      </c>
      <c r="V77" s="2">
        <v>2498565000000</v>
      </c>
    </row>
    <row r="78">
      <c r="B78" t="str">
        <v>Total Laba Komprehensif Yang ...</v>
      </c>
      <c r="C78" s="2">
        <v>375883000000</v>
      </c>
      <c r="D78" s="2">
        <v>459454000000</v>
      </c>
      <c r="E78" s="2">
        <v>385324000000</v>
      </c>
      <c r="F78" s="2">
        <v>442167000000</v>
      </c>
      <c r="H78" s="2">
        <v>1571868000000</v>
      </c>
      <c r="I78" s="2">
        <v>1143142000000</v>
      </c>
      <c r="J78" s="2">
        <v>1136374000000</v>
      </c>
      <c r="K78" s="2">
        <v>1985920000000</v>
      </c>
      <c r="L78" s="2">
        <v>2454074000000</v>
      </c>
      <c r="M78" s="2">
        <v>467253000000</v>
      </c>
      <c r="N78" s="2">
        <v>-5223000000</v>
      </c>
      <c r="O78" s="2">
        <v>1672016000000</v>
      </c>
      <c r="P78" s="2">
        <v>2064015000000</v>
      </c>
      <c r="Q78" s="2">
        <v>2179787000000</v>
      </c>
      <c r="R78" s="2">
        <v>689403000000</v>
      </c>
      <c r="S78" s="2">
        <v>2584645000000</v>
      </c>
      <c r="T78" s="2">
        <v>1936250000000</v>
      </c>
      <c r="U78" s="2">
        <v>2453654000000</v>
      </c>
      <c r="V78" s="2">
        <v>2498565000000</v>
      </c>
    </row>
    <row r="80">
      <c r="A80" t="str">
        <v>Balance Sheet</v>
      </c>
      <c r="B80" t="str">
        <v>Aset</v>
      </c>
    </row>
    <row r="81">
      <c r="B81" t="str">
        <v>Aset Lancar</v>
      </c>
    </row>
    <row r="82">
      <c r="B82" t="str">
        <v>Kas Dan Setara Kas</v>
      </c>
      <c r="C82" s="2">
        <v>4703854000000</v>
      </c>
      <c r="D82" s="2">
        <v>2755715000000</v>
      </c>
      <c r="E82" s="2">
        <v>4928942000000</v>
      </c>
      <c r="F82" s="2">
        <v>6324684000000</v>
      </c>
      <c r="H82" s="2">
        <v>2755715000000</v>
      </c>
      <c r="I82" s="2">
        <v>3236012000000</v>
      </c>
      <c r="J82" s="2">
        <v>2089508000000</v>
      </c>
      <c r="K82" s="2">
        <v>1619616000000</v>
      </c>
      <c r="L82" s="2">
        <v>3896022000000</v>
      </c>
      <c r="M82" s="2">
        <v>978892000000</v>
      </c>
      <c r="N82" s="2">
        <v>383366000000</v>
      </c>
      <c r="O82" s="2">
        <v>49082000000</v>
      </c>
      <c r="P82" s="2">
        <v>262292000000</v>
      </c>
      <c r="Q82" s="2">
        <v>531583000000</v>
      </c>
      <c r="R82" s="2">
        <v>294441000000</v>
      </c>
      <c r="S82" s="2">
        <v>611181000000</v>
      </c>
      <c r="T82" s="2">
        <v>709090000000</v>
      </c>
      <c r="U82" s="2">
        <v>227769000000</v>
      </c>
      <c r="V82" s="2">
        <v>838190000000</v>
      </c>
      <c r="W82" s="2">
        <v>1240781000000</v>
      </c>
      <c r="X82" s="2">
        <v>788549000000</v>
      </c>
      <c r="Y82" s="2">
        <v>867676000000</v>
      </c>
    </row>
    <row r="83">
      <c r="B83" t="str">
        <v>Piutang Usaha</v>
      </c>
      <c r="C83" s="2">
        <v>897024000000</v>
      </c>
      <c r="D83" s="2">
        <v>1206608000000</v>
      </c>
      <c r="E83" s="2">
        <v>457187000000</v>
      </c>
      <c r="F83" s="2">
        <v>799809000000</v>
      </c>
      <c r="H83" s="2">
        <v>1206608000000</v>
      </c>
      <c r="I83" s="2">
        <v>370613000000</v>
      </c>
      <c r="J83" s="2">
        <v>674487000000</v>
      </c>
      <c r="K83" s="2">
        <v>848770000000</v>
      </c>
      <c r="L83" s="2">
        <v>458135000000</v>
      </c>
      <c r="M83" s="2">
        <v>765849000000</v>
      </c>
      <c r="N83" s="2">
        <v>368739000000</v>
      </c>
      <c r="O83" s="2">
        <v>616624000000</v>
      </c>
      <c r="P83" s="2">
        <v>547538000000</v>
      </c>
      <c r="Q83" s="2">
        <v>527273000000</v>
      </c>
      <c r="R83" s="2">
        <v>45639000000</v>
      </c>
      <c r="S83" s="2">
        <v>33206000000</v>
      </c>
      <c r="T83" s="2">
        <v>3923000000</v>
      </c>
      <c r="U83" s="2">
        <v>40217000000</v>
      </c>
      <c r="V83" s="2">
        <v>5374000000</v>
      </c>
      <c r="W83" s="2">
        <v>50668000000</v>
      </c>
      <c r="X83" s="2">
        <v>150091000000</v>
      </c>
      <c r="Y83" s="2">
        <v>16346000000</v>
      </c>
    </row>
    <row r="84">
      <c r="B84" t="str">
        <v>Pihak Ketiga</v>
      </c>
      <c r="C84" s="2">
        <v>872911000000</v>
      </c>
      <c r="D84" s="2">
        <v>861506000000</v>
      </c>
      <c r="E84" s="2">
        <v>777654000000</v>
      </c>
      <c r="F84" s="2">
        <v>997867000000</v>
      </c>
      <c r="H84" s="2">
        <v>861506000000</v>
      </c>
      <c r="I84" s="2">
        <v>689838000000</v>
      </c>
      <c r="J84" s="2">
        <v>794768000000</v>
      </c>
      <c r="K84" s="2">
        <v>1162333000000</v>
      </c>
      <c r="L84" s="2">
        <v>907364000000</v>
      </c>
      <c r="M84" s="2">
        <v>749456000000</v>
      </c>
      <c r="N84" s="2">
        <v>801001000000</v>
      </c>
      <c r="O84" s="2">
        <v>1057257000000</v>
      </c>
      <c r="P84" s="2">
        <v>804718000000</v>
      </c>
      <c r="Q84" s="2">
        <v>905834000000</v>
      </c>
      <c r="R84" s="2">
        <v>707235000000</v>
      </c>
      <c r="S84" s="2">
        <v>856261000000</v>
      </c>
      <c r="T84" s="2">
        <v>678786000000</v>
      </c>
      <c r="U84" s="2">
        <v>548841000000</v>
      </c>
      <c r="V84" s="2">
        <v>496783000000</v>
      </c>
      <c r="W84" s="2">
        <v>337136000000</v>
      </c>
      <c r="X84" s="2">
        <v>231693000000</v>
      </c>
      <c r="Y84" s="2">
        <v>271990000000</v>
      </c>
    </row>
    <row r="85">
      <c r="B85" t="str">
        <v>Pihak Berelasi</v>
      </c>
      <c r="C85" s="2">
        <v>21070000000</v>
      </c>
      <c r="D85" s="2">
        <v>49817000000</v>
      </c>
      <c r="E85" s="2">
        <v>24273000000</v>
      </c>
      <c r="F85" s="2">
        <v>19485000000</v>
      </c>
      <c r="H85" s="2">
        <v>49817000000</v>
      </c>
      <c r="I85" s="2">
        <v>21605000000</v>
      </c>
      <c r="J85" s="2">
        <v>47296000000</v>
      </c>
      <c r="K85" s="2">
        <v>62090000000</v>
      </c>
      <c r="L85" s="2">
        <v>119353000000</v>
      </c>
      <c r="M85" s="2">
        <v>20808000000</v>
      </c>
      <c r="N85" s="2">
        <v>25844000000</v>
      </c>
      <c r="O85" s="2">
        <v>31574000000</v>
      </c>
      <c r="P85" s="2">
        <v>27795000000</v>
      </c>
      <c r="Q85" s="2">
        <v>34274000000</v>
      </c>
      <c r="R85" s="2">
        <v>26300000000</v>
      </c>
      <c r="S85" s="2">
        <v>66681000000</v>
      </c>
      <c r="T85" s="2">
        <v>40846000000</v>
      </c>
      <c r="U85" s="2">
        <v>16580000000</v>
      </c>
      <c r="V85" s="2">
        <v>25056000000</v>
      </c>
      <c r="W85" s="2">
        <v>11711000000</v>
      </c>
      <c r="X85" s="2">
        <v>6308000000</v>
      </c>
      <c r="Y85" s="2">
        <v>19465000000</v>
      </c>
    </row>
    <row r="86">
      <c r="B86" t="str">
        <v>Total Piutang Usaha</v>
      </c>
      <c r="C86" s="2">
        <v>897024000000</v>
      </c>
      <c r="D86" s="2">
        <v>1206608000000</v>
      </c>
      <c r="E86" s="2">
        <v>457187000000</v>
      </c>
      <c r="F86" s="2">
        <v>799809000000</v>
      </c>
      <c r="H86" s="2">
        <v>1206608000000</v>
      </c>
      <c r="I86" s="2">
        <v>370613000000</v>
      </c>
      <c r="J86" s="2">
        <v>674487000000</v>
      </c>
      <c r="K86" s="2">
        <v>848770000000</v>
      </c>
      <c r="L86" s="2">
        <v>458135000000</v>
      </c>
      <c r="M86" s="2">
        <v>765849000000</v>
      </c>
      <c r="N86" s="2">
        <v>368739000000</v>
      </c>
      <c r="O86" s="2">
        <v>616624000000</v>
      </c>
      <c r="P86" s="2">
        <v>547538000000</v>
      </c>
      <c r="Q86" s="2">
        <v>527273000000</v>
      </c>
      <c r="R86" s="2">
        <v>45639000000</v>
      </c>
      <c r="S86" s="2">
        <v>33206000000</v>
      </c>
      <c r="T86" s="2">
        <v>3923000000</v>
      </c>
      <c r="U86" s="2">
        <v>40217000000</v>
      </c>
      <c r="V86" s="2">
        <v>5374000000</v>
      </c>
      <c r="W86" s="2">
        <v>50668000000</v>
      </c>
      <c r="X86" s="2">
        <v>150091000000</v>
      </c>
      <c r="Y86" s="2">
        <v>16346000000</v>
      </c>
    </row>
    <row r="87">
      <c r="B87" t="str">
        <v>Piutang Lain-Lain</v>
      </c>
      <c r="C87" s="2">
        <v>29699000000</v>
      </c>
      <c r="D87" s="2">
        <v>31749000000</v>
      </c>
      <c r="E87" s="2">
        <v>31871000000</v>
      </c>
      <c r="F87" s="2">
        <v>44634000000</v>
      </c>
      <c r="H87" s="2">
        <v>31749000000</v>
      </c>
      <c r="I87" s="2">
        <v>39965000000</v>
      </c>
      <c r="J87" s="2">
        <v>204291000000</v>
      </c>
      <c r="K87" s="2">
        <v>49660000000</v>
      </c>
      <c r="L87" s="2">
        <v>126082000000</v>
      </c>
      <c r="M87" s="2">
        <v>624135000000</v>
      </c>
      <c r="N87" s="2">
        <v>389505000000</v>
      </c>
      <c r="O87" s="2">
        <v>46805000000</v>
      </c>
      <c r="P87" s="2">
        <v>157211000000</v>
      </c>
      <c r="Q87" s="2">
        <v>51853000000</v>
      </c>
      <c r="R87" s="2">
        <v>42387000000</v>
      </c>
      <c r="S87" s="2">
        <v>14245000000</v>
      </c>
      <c r="T87" s="2">
        <v>16631000000</v>
      </c>
      <c r="U87" s="2">
        <v>9851000000</v>
      </c>
      <c r="V87" s="2">
        <v>10984000000</v>
      </c>
      <c r="W87" s="2">
        <v>48164000000</v>
      </c>
      <c r="X87" s="2">
        <v>6633000000</v>
      </c>
      <c r="Y87" s="2">
        <v>8359000000</v>
      </c>
    </row>
    <row r="88">
      <c r="B88" t="str">
        <v>Total Piutang Lain-Lai...</v>
      </c>
      <c r="C88" s="2">
        <v>29699000000</v>
      </c>
      <c r="D88" s="2">
        <v>31749000000</v>
      </c>
      <c r="E88" s="2">
        <v>31871000000</v>
      </c>
      <c r="F88" s="2">
        <v>44634000000</v>
      </c>
      <c r="H88" s="2">
        <v>31749000000</v>
      </c>
      <c r="I88" s="2">
        <v>39965000000</v>
      </c>
      <c r="J88" s="2">
        <v>204291000000</v>
      </c>
      <c r="K88" s="2">
        <v>49660000000</v>
      </c>
      <c r="L88" s="2">
        <v>126082000000</v>
      </c>
      <c r="M88" s="2">
        <v>624135000000</v>
      </c>
      <c r="N88" s="2">
        <v>389505000000</v>
      </c>
      <c r="O88" s="2">
        <v>46805000000</v>
      </c>
      <c r="P88" s="2">
        <v>157211000000</v>
      </c>
      <c r="Q88" s="2">
        <v>51853000000</v>
      </c>
      <c r="R88" s="2">
        <v>42387000000</v>
      </c>
      <c r="S88" s="2">
        <v>14245000000</v>
      </c>
      <c r="T88" s="2">
        <v>16631000000</v>
      </c>
      <c r="U88" s="2">
        <v>9851000000</v>
      </c>
      <c r="V88" s="2">
        <v>10984000000</v>
      </c>
      <c r="W88" s="2">
        <v>48164000000</v>
      </c>
      <c r="X88" s="2">
        <v>6633000000</v>
      </c>
      <c r="Y88" s="2">
        <v>8359000000</v>
      </c>
    </row>
    <row r="89">
      <c r="B89" t="str">
        <v>Persediaan</v>
      </c>
      <c r="C89" s="2">
        <v>2930339000000</v>
      </c>
      <c r="D89" s="2">
        <v>3246904000000</v>
      </c>
      <c r="E89" s="2">
        <v>2689905000000</v>
      </c>
      <c r="F89" s="2">
        <v>3229148000000</v>
      </c>
      <c r="H89" s="2">
        <v>3246904000000</v>
      </c>
      <c r="I89" s="2">
        <v>3699970000000</v>
      </c>
      <c r="J89" s="2">
        <v>2876100000000</v>
      </c>
      <c r="K89" s="2">
        <v>3273597000000</v>
      </c>
      <c r="L89" s="2">
        <v>3023478000000</v>
      </c>
      <c r="M89" s="2">
        <v>2165603000000</v>
      </c>
      <c r="N89" s="2">
        <v>1974035000000</v>
      </c>
      <c r="O89" s="2">
        <v>2368363000000</v>
      </c>
      <c r="P89" s="2">
        <v>2018104000000</v>
      </c>
      <c r="Q89" s="2">
        <v>2097204000000</v>
      </c>
      <c r="R89" s="2">
        <v>1691575000000</v>
      </c>
      <c r="S89" s="2">
        <v>1278120000000</v>
      </c>
      <c r="T89" s="2">
        <v>802978000000</v>
      </c>
      <c r="U89" s="2">
        <v>1249050000000</v>
      </c>
      <c r="V89" s="2">
        <v>769903000000</v>
      </c>
      <c r="W89" s="2">
        <v>624694000000</v>
      </c>
      <c r="X89" s="2">
        <v>610031000000</v>
      </c>
      <c r="Y89" s="2">
        <v>781363000000</v>
      </c>
    </row>
    <row r="90">
      <c r="B90" t="str">
        <v>Others</v>
      </c>
      <c r="C90" s="2">
        <v>-33444000000</v>
      </c>
      <c r="D90" s="2">
        <v>-33444000000</v>
      </c>
      <c r="E90" s="2">
        <v>-33444000000</v>
      </c>
      <c r="F90" s="2">
        <v>-33444000000</v>
      </c>
      <c r="H90" s="2">
        <v>-33444000000</v>
      </c>
      <c r="I90" s="2">
        <v>-33444000000</v>
      </c>
      <c r="J90" s="2">
        <v>-44536000000</v>
      </c>
      <c r="K90" s="2">
        <v>-77590000000</v>
      </c>
      <c r="L90" s="2">
        <v>-225215000000</v>
      </c>
      <c r="M90" s="2">
        <v>-585804000000</v>
      </c>
      <c r="N90" s="2">
        <v>-164066000000</v>
      </c>
      <c r="O90" s="2">
        <v>-33444000000</v>
      </c>
      <c r="P90" s="2">
        <v>-33444000000</v>
      </c>
      <c r="X90" s="2">
        <v>127000000</v>
      </c>
      <c r="Y90" s="2">
        <v>127000000</v>
      </c>
    </row>
    <row r="91">
      <c r="B91" t="str">
        <v>Total Aset Lancar</v>
      </c>
      <c r="C91" s="2">
        <v>9770714000000</v>
      </c>
      <c r="D91" s="2">
        <v>8662790000000</v>
      </c>
      <c r="E91" s="2">
        <v>9118640000000</v>
      </c>
      <c r="F91" s="2">
        <v>11413558000000</v>
      </c>
      <c r="H91" s="2">
        <v>8662790000000</v>
      </c>
      <c r="I91" s="2">
        <v>8433638000000</v>
      </c>
      <c r="J91" s="2">
        <v>7118202000000</v>
      </c>
      <c r="K91" s="2">
        <v>7390608000000</v>
      </c>
      <c r="L91" s="2">
        <v>9414208000000</v>
      </c>
      <c r="M91" s="2">
        <v>5937890000000</v>
      </c>
      <c r="N91" s="2">
        <v>4472011000000</v>
      </c>
      <c r="O91" s="2">
        <v>4500628000000</v>
      </c>
      <c r="P91" s="2">
        <v>4245730000000</v>
      </c>
      <c r="Q91" s="2">
        <v>4051544000000</v>
      </c>
      <c r="R91" s="2">
        <v>2814123000000</v>
      </c>
      <c r="S91" s="2">
        <v>2403615000000</v>
      </c>
      <c r="T91" s="2">
        <v>1691694000000</v>
      </c>
      <c r="U91" s="2">
        <v>1780395000000</v>
      </c>
      <c r="V91" s="2">
        <v>1886387000000</v>
      </c>
      <c r="W91" s="2">
        <v>2051177000000</v>
      </c>
      <c r="X91" s="2">
        <v>1714426000000</v>
      </c>
      <c r="Y91" s="2">
        <v>1975656000000</v>
      </c>
    </row>
    <row r="92">
      <c r="B92" t="str">
        <v>Aset Tidak Lancar</v>
      </c>
    </row>
    <row r="93">
      <c r="B93" t="str">
        <v>Investasi Pada Entitas P...</v>
      </c>
      <c r="C93" s="2">
        <v>298369000000</v>
      </c>
      <c r="D93" s="2">
        <v>332868000000</v>
      </c>
      <c r="E93" s="2">
        <v>354651000000</v>
      </c>
      <c r="F93" s="2">
        <v>362927000000</v>
      </c>
      <c r="H93" s="2">
        <v>332868000000</v>
      </c>
      <c r="I93" s="2">
        <v>410417000000</v>
      </c>
      <c r="J93" s="2">
        <v>521754000000</v>
      </c>
      <c r="K93" s="2">
        <v>546531000000</v>
      </c>
      <c r="L93" s="2">
        <v>330904000000</v>
      </c>
      <c r="M93" s="2">
        <v>255530000000</v>
      </c>
      <c r="N93" s="2">
        <v>167067000000</v>
      </c>
      <c r="O93" s="2">
        <v>172966000000</v>
      </c>
      <c r="P93" s="2">
        <v>188035000000</v>
      </c>
      <c r="Q93" s="2">
        <v>271687000000</v>
      </c>
      <c r="R93" s="2">
        <v>109215000000</v>
      </c>
      <c r="S93" s="2">
        <v>29213000000</v>
      </c>
      <c r="T93" s="2">
        <v>8382000000</v>
      </c>
    </row>
    <row r="94">
      <c r="B94" t="str">
        <v>Aset Pajak Tangguhan</v>
      </c>
      <c r="C94" s="2">
        <v>540696000000</v>
      </c>
      <c r="D94" s="2">
        <v>506489000000</v>
      </c>
      <c r="E94" s="2">
        <v>534660000000</v>
      </c>
      <c r="F94" s="2">
        <v>471493000000</v>
      </c>
      <c r="H94" s="2">
        <v>506489000000</v>
      </c>
      <c r="I94" s="2">
        <v>494411000000</v>
      </c>
      <c r="J94" s="2">
        <v>481033000000</v>
      </c>
      <c r="K94" s="2">
        <v>551273000000</v>
      </c>
      <c r="L94" s="2">
        <v>626433000000</v>
      </c>
      <c r="M94" s="2">
        <v>723020000000</v>
      </c>
      <c r="N94" s="2">
        <v>825031000000</v>
      </c>
      <c r="O94" s="2">
        <v>838940000000</v>
      </c>
      <c r="P94" s="2">
        <v>994046000000</v>
      </c>
      <c r="Q94" s="2">
        <v>1021615000000</v>
      </c>
      <c r="R94" s="2">
        <v>304729000000</v>
      </c>
      <c r="S94" s="2">
        <v>203957000000</v>
      </c>
      <c r="T94" s="2">
        <v>173891000000</v>
      </c>
      <c r="U94" s="2">
        <v>109036000000</v>
      </c>
      <c r="V94" s="2">
        <v>99613000000</v>
      </c>
      <c r="W94" s="2">
        <v>58291000000</v>
      </c>
      <c r="X94" s="2">
        <v>92493000000</v>
      </c>
      <c r="Y94" s="2">
        <v>61501000000</v>
      </c>
    </row>
    <row r="95">
      <c r="B95" t="str">
        <v>Tanaman Perkebunan</v>
      </c>
      <c r="C95" s="2">
        <v>7365454000000</v>
      </c>
      <c r="D95" s="2">
        <v>7384511000000</v>
      </c>
      <c r="E95" s="2">
        <v>7349318000000</v>
      </c>
      <c r="F95" s="2">
        <v>7388139000000</v>
      </c>
      <c r="H95" s="2">
        <v>7384511000000</v>
      </c>
      <c r="I95" s="2">
        <v>7464928000000</v>
      </c>
      <c r="J95" s="2">
        <v>7409796000000</v>
      </c>
      <c r="K95" s="2">
        <v>7310220000000</v>
      </c>
      <c r="L95" s="2">
        <v>7114471000000</v>
      </c>
      <c r="M95" s="2">
        <v>7005856000000</v>
      </c>
      <c r="N95" s="2">
        <v>6990512000000</v>
      </c>
      <c r="O95" s="2">
        <v>7048805000000</v>
      </c>
      <c r="P95" s="2">
        <v>6747214000000</v>
      </c>
      <c r="Q95" s="2">
        <v>6674902000000</v>
      </c>
      <c r="R95" s="2">
        <v>6686273000000</v>
      </c>
      <c r="S95" s="2">
        <v>6006852000000</v>
      </c>
      <c r="T95" s="2">
        <v>4973865000000</v>
      </c>
      <c r="U95" s="2">
        <v>4472873000000</v>
      </c>
      <c r="V95" s="2">
        <v>3795784000000</v>
      </c>
      <c r="W95" s="2">
        <v>3183878000000</v>
      </c>
      <c r="X95" s="2">
        <v>2614018000000</v>
      </c>
      <c r="Y95" s="2">
        <v>1937276000000</v>
      </c>
    </row>
    <row r="96">
      <c r="B96" t="str">
        <v>Tanaman Telah Menghas...</v>
      </c>
      <c r="C96" s="2">
        <v>5929520000000</v>
      </c>
      <c r="D96" s="2">
        <v>5994220000000</v>
      </c>
      <c r="E96" s="2">
        <v>5989818000000</v>
      </c>
      <c r="F96" s="2">
        <v>6124304000000</v>
      </c>
      <c r="H96" s="2">
        <v>5994220000000</v>
      </c>
      <c r="I96" s="2">
        <v>6032744000000</v>
      </c>
      <c r="J96" s="2">
        <v>5909770000000</v>
      </c>
      <c r="K96" s="2">
        <v>5674297000000</v>
      </c>
      <c r="L96" s="2">
        <v>5499864000000</v>
      </c>
      <c r="M96" s="2">
        <v>5461796000000</v>
      </c>
      <c r="N96" s="2">
        <v>5423078000000</v>
      </c>
      <c r="O96" s="2">
        <v>5681689000000</v>
      </c>
      <c r="P96" s="2">
        <v>5154777000000</v>
      </c>
      <c r="Q96" s="2">
        <v>4645579000000</v>
      </c>
      <c r="R96" s="2">
        <v>4098397000000</v>
      </c>
      <c r="S96" s="2">
        <v>3820764000000</v>
      </c>
      <c r="T96" s="2">
        <v>3352681000000</v>
      </c>
      <c r="U96" s="2">
        <v>2385573000000</v>
      </c>
      <c r="V96" s="2">
        <v>1351784000000</v>
      </c>
      <c r="W96" s="2">
        <v>1080670000000</v>
      </c>
      <c r="X96" s="2">
        <v>729251000000</v>
      </c>
      <c r="Y96" s="2">
        <v>600653000000</v>
      </c>
    </row>
    <row r="97">
      <c r="B97" t="str">
        <v>Tanaman Belum Menghas...</v>
      </c>
      <c r="C97" s="2">
        <v>1435934000000</v>
      </c>
      <c r="D97" s="2">
        <v>1390291000000</v>
      </c>
      <c r="E97" s="2">
        <v>1359500000000</v>
      </c>
      <c r="F97" s="2">
        <v>1263835000000</v>
      </c>
      <c r="H97" s="2">
        <v>1390291000000</v>
      </c>
      <c r="I97" s="2">
        <v>1432184000000</v>
      </c>
      <c r="J97" s="2">
        <v>1500026000000</v>
      </c>
      <c r="K97" s="2">
        <v>1635923000000</v>
      </c>
      <c r="L97" s="2">
        <v>1614607000000</v>
      </c>
      <c r="M97" s="2">
        <v>1544060000000</v>
      </c>
      <c r="N97" s="2">
        <v>1567434000000</v>
      </c>
      <c r="O97" s="2">
        <v>1367116000000</v>
      </c>
      <c r="P97" s="2">
        <v>1592437000000</v>
      </c>
      <c r="Q97" s="2">
        <v>2029323000000</v>
      </c>
      <c r="R97" s="2">
        <v>2587876000000</v>
      </c>
      <c r="S97" s="2">
        <v>2186088000000</v>
      </c>
      <c r="T97" s="2">
        <v>1621184000000</v>
      </c>
      <c r="U97" s="2">
        <v>2087300000000</v>
      </c>
      <c r="V97" s="2">
        <v>2444000000000</v>
      </c>
      <c r="W97" s="2">
        <v>2103208000000</v>
      </c>
      <c r="X97" s="2">
        <v>1884767000000</v>
      </c>
      <c r="Y97" s="2">
        <v>1336623000000</v>
      </c>
    </row>
    <row r="98">
      <c r="B98" t="str">
        <v>Total Tanaman Perkebun...</v>
      </c>
      <c r="C98" s="2">
        <v>7365454000000</v>
      </c>
      <c r="D98" s="2">
        <v>7384511000000</v>
      </c>
      <c r="E98" s="2">
        <v>7349318000000</v>
      </c>
      <c r="F98" s="2">
        <v>7388139000000</v>
      </c>
      <c r="H98" s="2">
        <v>7384511000000</v>
      </c>
      <c r="I98" s="2">
        <v>7464928000000</v>
      </c>
      <c r="J98" s="2">
        <v>7409796000000</v>
      </c>
      <c r="K98" s="2">
        <v>7310220000000</v>
      </c>
      <c r="L98" s="2">
        <v>7114471000000</v>
      </c>
      <c r="M98" s="2">
        <v>7005856000000</v>
      </c>
      <c r="N98" s="2">
        <v>6990512000000</v>
      </c>
      <c r="O98" s="2">
        <v>7048805000000</v>
      </c>
      <c r="P98" s="2">
        <v>6747214000000</v>
      </c>
      <c r="Q98" s="2">
        <v>6674902000000</v>
      </c>
      <c r="R98" s="2">
        <v>6686273000000</v>
      </c>
      <c r="S98" s="2">
        <v>6006852000000</v>
      </c>
      <c r="T98" s="2">
        <v>4973865000000</v>
      </c>
      <c r="U98" s="2">
        <v>4472873000000</v>
      </c>
      <c r="V98" s="2">
        <v>3795784000000</v>
      </c>
      <c r="W98" s="2">
        <v>3183878000000</v>
      </c>
      <c r="X98" s="2">
        <v>2614018000000</v>
      </c>
      <c r="Y98" s="2">
        <v>1937276000000</v>
      </c>
    </row>
    <row r="99">
      <c r="B99" t="str">
        <v>Aset Tetap</v>
      </c>
      <c r="C99" s="2">
        <v>7577554000000</v>
      </c>
      <c r="D99" s="2">
        <v>7781637000000</v>
      </c>
      <c r="E99" s="2">
        <v>7856631000000</v>
      </c>
      <c r="F99" s="2">
        <v>8052982000000</v>
      </c>
      <c r="H99" s="2">
        <v>7781637000000</v>
      </c>
      <c r="I99" s="2">
        <v>8456491000000</v>
      </c>
      <c r="J99" s="2">
        <v>8982236000000</v>
      </c>
      <c r="K99" s="2">
        <v>9104799000000</v>
      </c>
      <c r="L99" s="2">
        <v>9172225000000</v>
      </c>
      <c r="M99" s="2">
        <v>9242161000000</v>
      </c>
      <c r="N99" s="2">
        <v>9841623000000</v>
      </c>
      <c r="O99" s="2">
        <v>10219013000000</v>
      </c>
      <c r="P99" s="2">
        <v>10152225000000</v>
      </c>
      <c r="Q99" s="2">
        <v>10027968000000</v>
      </c>
      <c r="R99" s="2">
        <v>9361731000000</v>
      </c>
      <c r="S99" s="2">
        <v>8335003000000</v>
      </c>
      <c r="T99" s="2">
        <v>6493712000000</v>
      </c>
      <c r="U99" s="2">
        <v>4918673000000</v>
      </c>
      <c r="V99" s="2">
        <v>3534608000000</v>
      </c>
      <c r="W99" s="2">
        <v>2686910000000</v>
      </c>
      <c r="X99" s="2">
        <v>2444959000000</v>
      </c>
      <c r="Y99" s="2">
        <v>2001772000000</v>
      </c>
    </row>
    <row r="100">
      <c r="B100" t="str">
        <v>Goodwill</v>
      </c>
      <c r="C100" s="2">
        <v>55951000000</v>
      </c>
      <c r="D100" s="2">
        <v>55951000000</v>
      </c>
      <c r="E100" s="2">
        <v>55951000000</v>
      </c>
      <c r="F100" s="2">
        <v>55951000000</v>
      </c>
      <c r="H100" s="2">
        <v>55951000000</v>
      </c>
      <c r="I100" s="2">
        <v>55951000000</v>
      </c>
      <c r="J100" s="2">
        <v>55951000000</v>
      </c>
      <c r="K100" s="2">
        <v>55951000000</v>
      </c>
      <c r="L100" s="2">
        <v>55951000000</v>
      </c>
      <c r="M100" s="2">
        <v>55951000000</v>
      </c>
      <c r="N100" s="2">
        <v>55951000000</v>
      </c>
      <c r="O100" s="2">
        <v>55951000000</v>
      </c>
      <c r="P100" s="2">
        <v>55951000000</v>
      </c>
      <c r="Q100" s="2">
        <v>55951000000</v>
      </c>
      <c r="R100" s="2">
        <v>55951000000</v>
      </c>
      <c r="S100" s="2">
        <v>55951000000</v>
      </c>
      <c r="T100" s="2">
        <v>55951000000</v>
      </c>
      <c r="U100" s="2">
        <v>55951000000</v>
      </c>
      <c r="V100" s="2">
        <v>55951000000</v>
      </c>
      <c r="W100" s="2">
        <v>53327000000</v>
      </c>
      <c r="X100" s="2">
        <v>61557000000</v>
      </c>
      <c r="Y100" s="2">
        <v>73953000000</v>
      </c>
    </row>
    <row r="101">
      <c r="B101" t="str">
        <v>Total Aset Tidak Lancar</v>
      </c>
      <c r="C101" s="2">
        <v>18122641000000</v>
      </c>
      <c r="D101" s="2">
        <v>18384314000000</v>
      </c>
      <c r="E101" s="2">
        <v>18844540000000</v>
      </c>
      <c r="F101" s="2">
        <v>19091821000000</v>
      </c>
      <c r="H101" s="2">
        <v>18384314000000</v>
      </c>
      <c r="I101" s="2">
        <v>20359587000000</v>
      </c>
      <c r="J101" s="2">
        <v>21728041000000</v>
      </c>
      <c r="K101" s="2">
        <v>21858732000000</v>
      </c>
      <c r="L101" s="2">
        <v>20985698000000</v>
      </c>
      <c r="M101" s="2">
        <v>21843341000000</v>
      </c>
      <c r="N101" s="2">
        <v>22502113000000</v>
      </c>
      <c r="O101" s="2">
        <v>22356339000000</v>
      </c>
      <c r="P101" s="2">
        <v>20689696000000</v>
      </c>
      <c r="Q101" s="2">
        <v>20174578000000</v>
      </c>
      <c r="R101" s="2">
        <v>18698248000000</v>
      </c>
      <c r="S101" s="2">
        <v>16154714000000</v>
      </c>
      <c r="T101" s="2">
        <v>13271496000000</v>
      </c>
      <c r="U101" s="2">
        <v>10639425000000</v>
      </c>
      <c r="V101" s="2">
        <v>8318108000000</v>
      </c>
      <c r="W101" s="2">
        <v>6740622000000</v>
      </c>
      <c r="X101" s="2">
        <v>5856973000000</v>
      </c>
      <c r="Y101" s="2">
        <v>4544135000000</v>
      </c>
    </row>
    <row r="102">
      <c r="B102" t="str">
        <v>Total Aset</v>
      </c>
      <c r="C102" s="2">
        <v>27893355000000</v>
      </c>
      <c r="D102" s="2">
        <v>27047104000000</v>
      </c>
      <c r="E102" s="2">
        <v>27963180000000</v>
      </c>
      <c r="F102" s="2">
        <v>30505379000000</v>
      </c>
      <c r="H102" s="2">
        <v>27047104000000</v>
      </c>
      <c r="I102" s="2">
        <v>28793225000000</v>
      </c>
      <c r="J102" s="2">
        <v>28846243000000</v>
      </c>
      <c r="K102" s="2">
        <v>29249340000000</v>
      </c>
      <c r="L102" s="2">
        <v>30399906000000</v>
      </c>
      <c r="M102" s="2">
        <v>27781231000000</v>
      </c>
      <c r="N102" s="2">
        <v>26974124000000</v>
      </c>
      <c r="O102" s="2">
        <v>26856967000000</v>
      </c>
      <c r="P102" s="2">
        <v>24935426000000</v>
      </c>
      <c r="Q102" s="2">
        <v>24226122000000</v>
      </c>
      <c r="R102" s="2">
        <v>21512371000000</v>
      </c>
      <c r="S102" s="2">
        <v>18558329000000</v>
      </c>
      <c r="T102" s="2">
        <v>14963190000000</v>
      </c>
      <c r="U102" s="2">
        <v>12419820000000</v>
      </c>
      <c r="V102" s="2">
        <v>10204495000000</v>
      </c>
      <c r="W102" s="2">
        <v>8791799000000</v>
      </c>
      <c r="X102" s="2">
        <v>7571399000000</v>
      </c>
      <c r="Y102" s="2">
        <v>6519791000000</v>
      </c>
    </row>
    <row r="103">
      <c r="B103" t="str">
        <v>Liabilitas Dan Ekuitas</v>
      </c>
    </row>
    <row r="104">
      <c r="B104" t="str">
        <v>Liabilitas</v>
      </c>
    </row>
    <row r="105">
      <c r="B105" t="str">
        <v>Liabilitas Jangka Pendek</v>
      </c>
      <c r="C105" s="2">
        <v>2442686000000</v>
      </c>
      <c r="D105" s="2">
        <v>2000352000000</v>
      </c>
      <c r="E105" s="2">
        <v>3344273000000</v>
      </c>
      <c r="F105" s="2">
        <v>4556675000000</v>
      </c>
      <c r="H105" s="2">
        <v>2000352000000</v>
      </c>
      <c r="I105" s="2">
        <v>3237653000000</v>
      </c>
      <c r="J105" s="2">
        <v>3882141000000</v>
      </c>
      <c r="K105" s="2">
        <v>2052939000000</v>
      </c>
      <c r="L105" s="2">
        <v>5960396000000</v>
      </c>
      <c r="M105" s="2">
        <v>1792506000000</v>
      </c>
      <c r="N105" s="2">
        <v>1566765000000</v>
      </c>
      <c r="O105" s="2">
        <v>3076530000000</v>
      </c>
      <c r="P105" s="2">
        <v>2309417000000</v>
      </c>
      <c r="Q105" s="2">
        <v>3942967000000</v>
      </c>
      <c r="R105" s="2">
        <v>3522133000000</v>
      </c>
      <c r="S105" s="2">
        <v>4110955000000</v>
      </c>
      <c r="T105" s="2">
        <v>3759265000000</v>
      </c>
      <c r="U105" s="2">
        <v>2600540000000</v>
      </c>
      <c r="V105" s="2">
        <v>1440351000000</v>
      </c>
      <c r="W105" s="2">
        <v>1061852000000</v>
      </c>
      <c r="X105" s="2">
        <v>938976000000</v>
      </c>
      <c r="Y105" s="2">
        <v>1016167000000</v>
      </c>
    </row>
    <row r="106">
      <c r="B106" t="str">
        <v>Utang Usaha</v>
      </c>
    </row>
    <row r="107">
      <c r="B107" t="str">
        <v>Total Utang Usaha</v>
      </c>
      <c r="C107" s="2">
        <v>893981000000</v>
      </c>
      <c r="D107" s="2">
        <v>911323000000</v>
      </c>
      <c r="E107" s="2">
        <v>801927000000</v>
      </c>
      <c r="F107" s="2">
        <v>1017352000000</v>
      </c>
      <c r="H107" s="2">
        <v>911323000000</v>
      </c>
      <c r="I107" s="2">
        <v>711443000000</v>
      </c>
      <c r="J107" s="2">
        <v>842064000000</v>
      </c>
      <c r="K107" s="2">
        <v>1224423000000</v>
      </c>
      <c r="L107" s="2">
        <v>1026717000000</v>
      </c>
      <c r="M107" s="2">
        <v>770264000000</v>
      </c>
      <c r="N107" s="2">
        <v>826845000000</v>
      </c>
      <c r="O107" s="2">
        <v>1088831000000</v>
      </c>
      <c r="P107" s="2">
        <v>832513000000</v>
      </c>
      <c r="Q107" s="2">
        <v>940108000000</v>
      </c>
      <c r="R107" s="2">
        <v>733535000000</v>
      </c>
      <c r="S107" s="2">
        <v>922942000000</v>
      </c>
      <c r="T107" s="2">
        <v>719632000000</v>
      </c>
      <c r="U107" s="2">
        <v>565421000000</v>
      </c>
      <c r="V107" s="2">
        <v>521839000000</v>
      </c>
      <c r="W107" s="2">
        <v>348847000000</v>
      </c>
      <c r="X107" s="2">
        <v>238001000000</v>
      </c>
      <c r="Y107" s="2">
        <v>291455000000</v>
      </c>
    </row>
    <row r="108">
      <c r="B108" t="str">
        <v>Beban Akrual</v>
      </c>
      <c r="C108" s="2">
        <v>396923000000</v>
      </c>
      <c r="D108" s="2">
        <v>106906000000</v>
      </c>
      <c r="E108" s="2">
        <v>1393504000000</v>
      </c>
      <c r="F108" s="2">
        <v>1128733000000</v>
      </c>
      <c r="H108" s="2">
        <v>106906000000</v>
      </c>
      <c r="I108" s="2">
        <v>138469000000</v>
      </c>
      <c r="J108" s="2">
        <v>89610000000</v>
      </c>
      <c r="K108" s="2">
        <v>96012000000</v>
      </c>
      <c r="L108" s="2">
        <v>132316000000</v>
      </c>
      <c r="M108" s="2">
        <v>164984000000</v>
      </c>
      <c r="N108" s="2">
        <v>152327000000</v>
      </c>
      <c r="O108" s="2">
        <v>155572000000</v>
      </c>
      <c r="P108" s="2">
        <v>130891000000</v>
      </c>
      <c r="Q108" s="2">
        <v>93921000000</v>
      </c>
      <c r="R108" s="2">
        <v>88523000000</v>
      </c>
      <c r="S108" s="2">
        <v>81640000000</v>
      </c>
      <c r="T108" s="2">
        <v>69309000000</v>
      </c>
      <c r="U108" s="2">
        <v>72668000000</v>
      </c>
      <c r="V108" s="2">
        <v>56149000000</v>
      </c>
      <c r="W108" s="2">
        <v>49122000000</v>
      </c>
      <c r="X108" s="2">
        <v>107383000000</v>
      </c>
      <c r="Y108" s="2">
        <v>97961000000</v>
      </c>
    </row>
    <row r="109">
      <c r="B109" t="str">
        <v>Utang Pajak</v>
      </c>
      <c r="C109" s="2">
        <v>470824000000</v>
      </c>
      <c r="D109" s="2">
        <v>399215000000</v>
      </c>
      <c r="E109" s="2">
        <v>241324000000</v>
      </c>
      <c r="F109" s="2">
        <v>152534000000</v>
      </c>
      <c r="H109" s="2">
        <v>399215000000</v>
      </c>
      <c r="I109" s="2">
        <v>226368000000</v>
      </c>
      <c r="J109" s="2">
        <v>120237000000</v>
      </c>
      <c r="K109" s="2">
        <v>225982000000</v>
      </c>
      <c r="L109" s="2">
        <v>575841000000</v>
      </c>
      <c r="M109" s="2">
        <v>222619000000</v>
      </c>
      <c r="N109" s="2">
        <v>91866000000</v>
      </c>
      <c r="O109" s="2">
        <v>137799000000</v>
      </c>
      <c r="P109" s="2">
        <v>328460000000</v>
      </c>
      <c r="Q109" s="2">
        <v>272697000000</v>
      </c>
      <c r="R109" s="2">
        <v>166082000000</v>
      </c>
      <c r="S109" s="2">
        <v>442658000000</v>
      </c>
      <c r="T109" s="2">
        <v>317463000000</v>
      </c>
      <c r="U109" s="2">
        <v>381999000000</v>
      </c>
      <c r="V109" s="2">
        <v>354787000000</v>
      </c>
      <c r="W109" s="2">
        <v>302455000000</v>
      </c>
      <c r="X109" s="2">
        <v>297801000000</v>
      </c>
      <c r="Y109" s="2">
        <v>452036000000</v>
      </c>
    </row>
    <row r="110">
      <c r="B110" t="str">
        <v>Utang Bank Jangka Pen...</v>
      </c>
      <c r="N110" s="2">
        <v>150000000000</v>
      </c>
      <c r="O110" s="2">
        <v>1125000000000</v>
      </c>
      <c r="P110" s="2">
        <v>600000000000</v>
      </c>
      <c r="Q110" s="2">
        <v>400000000000</v>
      </c>
      <c r="R110" s="2">
        <v>700000000000</v>
      </c>
      <c r="S110" s="2">
        <v>632367000000</v>
      </c>
      <c r="T110" s="2">
        <v>342816000000</v>
      </c>
    </row>
    <row r="111">
      <c r="B111" t="str">
        <v>Bagian Lancar Atas Li...</v>
      </c>
    </row>
    <row r="112">
      <c r="B112" t="str">
        <v>Utang Bank Jangka...</v>
      </c>
      <c r="E112" s="2">
        <v>90000000000</v>
      </c>
      <c r="F112" s="2">
        <v>1689879000000</v>
      </c>
      <c r="I112" s="2">
        <v>1689537000000</v>
      </c>
      <c r="J112" s="2">
        <v>2315298000000</v>
      </c>
      <c r="K112" s="2">
        <v>5000000000</v>
      </c>
      <c r="L112" s="2">
        <v>3564461000000</v>
      </c>
      <c r="Q112" s="2">
        <v>1585213000000</v>
      </c>
      <c r="R112" s="2">
        <v>1324860000000</v>
      </c>
      <c r="S112" s="2">
        <v>1666808000000</v>
      </c>
      <c r="T112" s="2">
        <v>1808765000000</v>
      </c>
      <c r="U112" s="2">
        <v>971950000000</v>
      </c>
    </row>
    <row r="113">
      <c r="B113" t="str">
        <v>Total Bagian Lancar...</v>
      </c>
      <c r="E113" s="2">
        <v>90000000000</v>
      </c>
      <c r="F113" s="2">
        <v>1689879000000</v>
      </c>
      <c r="I113" s="2">
        <v>1689537000000</v>
      </c>
      <c r="J113" s="2">
        <v>2315298000000</v>
      </c>
      <c r="K113" s="2">
        <v>5000000000</v>
      </c>
      <c r="L113" s="2">
        <v>3564461000000</v>
      </c>
      <c r="Q113" s="2">
        <v>1585213000000</v>
      </c>
      <c r="R113" s="2">
        <v>1324860000000</v>
      </c>
      <c r="S113" s="2">
        <v>1666808000000</v>
      </c>
      <c r="T113" s="2">
        <v>1808765000000</v>
      </c>
      <c r="U113" s="2">
        <v>971950000000</v>
      </c>
    </row>
    <row r="114">
      <c r="B114" t="str">
        <v>Total Liabilitas Jangk...</v>
      </c>
      <c r="C114" s="2">
        <v>917152000000</v>
      </c>
      <c r="D114" s="2">
        <v>889118000000</v>
      </c>
      <c r="E114" s="2">
        <v>920727000000</v>
      </c>
      <c r="F114" s="2">
        <v>2399111000000</v>
      </c>
      <c r="H114" s="2">
        <v>889118000000</v>
      </c>
      <c r="I114" s="2">
        <v>2353510000000</v>
      </c>
      <c r="J114" s="2">
        <v>2398096000000</v>
      </c>
      <c r="K114" s="2">
        <v>4953180000000</v>
      </c>
      <c r="L114" s="2">
        <v>3268337000000</v>
      </c>
      <c r="M114" s="2">
        <v>6740931000000</v>
      </c>
      <c r="N114" s="2">
        <v>6428832000000</v>
      </c>
      <c r="O114" s="2">
        <v>4305915000000</v>
      </c>
      <c r="P114" s="2">
        <v>4089571000000</v>
      </c>
      <c r="Q114" s="2">
        <v>2689673000000</v>
      </c>
      <c r="R114" s="2">
        <v>6291451000000</v>
      </c>
      <c r="S114" s="2">
        <v>2609888000000</v>
      </c>
      <c r="T114" s="2">
        <v>936066000000</v>
      </c>
      <c r="U114" s="2">
        <v>453869000000</v>
      </c>
      <c r="V114" s="2">
        <v>337986000000</v>
      </c>
      <c r="W114" s="2">
        <v>272690000000</v>
      </c>
      <c r="X114" s="2">
        <v>205807000000</v>
      </c>
      <c r="Y114" s="2">
        <v>167048000000</v>
      </c>
    </row>
    <row r="115">
      <c r="B115" t="str">
        <v>Liabilitas Jangka Panjan...</v>
      </c>
      <c r="C115" s="2">
        <v>917152000000</v>
      </c>
      <c r="D115" s="2">
        <v>889118000000</v>
      </c>
      <c r="E115" s="2">
        <v>920727000000</v>
      </c>
      <c r="F115" s="2">
        <v>2399111000000</v>
      </c>
      <c r="H115" s="2">
        <v>889118000000</v>
      </c>
      <c r="I115" s="2">
        <v>2353510000000</v>
      </c>
      <c r="J115" s="2">
        <v>2398096000000</v>
      </c>
      <c r="K115" s="2">
        <v>4953180000000</v>
      </c>
      <c r="L115" s="2">
        <v>3268337000000</v>
      </c>
      <c r="M115" s="2">
        <v>6740931000000</v>
      </c>
      <c r="N115" s="2">
        <v>6428832000000</v>
      </c>
      <c r="O115" s="2">
        <v>4305915000000</v>
      </c>
      <c r="P115" s="2">
        <v>4089571000000</v>
      </c>
      <c r="Q115" s="2">
        <v>2689673000000</v>
      </c>
      <c r="R115" s="2">
        <v>6291451000000</v>
      </c>
      <c r="S115" s="2">
        <v>2609888000000</v>
      </c>
      <c r="T115" s="2">
        <v>936066000000</v>
      </c>
      <c r="U115" s="2">
        <v>453869000000</v>
      </c>
      <c r="V115" s="2">
        <v>337986000000</v>
      </c>
      <c r="W115" s="2">
        <v>272690000000</v>
      </c>
      <c r="X115" s="2">
        <v>205807000000</v>
      </c>
      <c r="Y115" s="2">
        <v>167048000000</v>
      </c>
    </row>
    <row r="116">
      <c r="B116" t="str">
        <v>Utang Bank Jangka Pan...</v>
      </c>
      <c r="F116" s="2">
        <v>1500000000000</v>
      </c>
      <c r="I116" s="2">
        <v>1500000000000</v>
      </c>
      <c r="J116" s="2">
        <v>1689754000000</v>
      </c>
      <c r="K116" s="2">
        <v>4048767000000</v>
      </c>
      <c r="L116" s="2">
        <v>2131944000000</v>
      </c>
      <c r="M116" s="2">
        <v>5623933000000</v>
      </c>
      <c r="N116" s="2">
        <v>5535466000000</v>
      </c>
      <c r="O116" s="2">
        <v>3606303000000</v>
      </c>
      <c r="P116" s="2">
        <v>3369334000000</v>
      </c>
      <c r="Q116" s="2">
        <v>2115811000000</v>
      </c>
      <c r="R116" s="2">
        <v>5707964000000</v>
      </c>
      <c r="S116" s="2">
        <v>2127758000000</v>
      </c>
      <c r="T116" s="2">
        <v>571359000000</v>
      </c>
    </row>
    <row r="117">
      <c r="B117" t="str">
        <v>Liabilitas Pajak Tang...</v>
      </c>
      <c r="C117" s="2">
        <v>172456000000</v>
      </c>
      <c r="D117" s="2">
        <v>199789000000</v>
      </c>
      <c r="E117" s="2">
        <v>208172000000</v>
      </c>
      <c r="F117" s="2">
        <v>221852000000</v>
      </c>
      <c r="H117" s="2">
        <v>199789000000</v>
      </c>
      <c r="I117" s="2">
        <v>223803000000</v>
      </c>
      <c r="J117" s="2">
        <v>239365000000</v>
      </c>
      <c r="K117" s="2">
        <v>221288000000</v>
      </c>
      <c r="L117" s="2">
        <v>209251000000</v>
      </c>
      <c r="M117" s="2">
        <v>133160000000</v>
      </c>
      <c r="N117" s="2">
        <v>142484000000</v>
      </c>
      <c r="O117" s="2">
        <v>116217000000</v>
      </c>
      <c r="P117" s="2">
        <v>80668000000</v>
      </c>
      <c r="Q117" s="2">
        <v>56977000000</v>
      </c>
      <c r="R117" s="2">
        <v>70564000000</v>
      </c>
      <c r="S117" s="2">
        <v>59306000000</v>
      </c>
      <c r="T117" s="2">
        <v>36138000000</v>
      </c>
      <c r="U117" s="2">
        <v>29114000000</v>
      </c>
      <c r="V117" s="2">
        <v>33321000000</v>
      </c>
      <c r="W117" s="2">
        <v>36945000000</v>
      </c>
      <c r="X117" s="2">
        <v>32022000000</v>
      </c>
      <c r="Y117" s="2">
        <v>26735000000</v>
      </c>
    </row>
    <row r="118">
      <c r="B118" t="str">
        <v>Total Liabilitas</v>
      </c>
      <c r="C118" s="2">
        <v>3359838000000</v>
      </c>
      <c r="D118" s="2">
        <v>2889470000000</v>
      </c>
      <c r="E118" s="2">
        <v>4265000000000</v>
      </c>
      <c r="F118" s="2">
        <v>6955786000000</v>
      </c>
      <c r="H118" s="2">
        <v>2889470000000</v>
      </c>
      <c r="I118" s="2">
        <v>5591163000000</v>
      </c>
      <c r="J118" s="2">
        <v>6280237000000</v>
      </c>
      <c r="K118" s="2">
        <v>7006119000000</v>
      </c>
      <c r="L118" s="2">
        <v>9228733000000</v>
      </c>
      <c r="M118" s="2">
        <v>8533437000000</v>
      </c>
      <c r="N118" s="2">
        <v>7995597000000</v>
      </c>
      <c r="O118" s="2">
        <v>7382445000000</v>
      </c>
      <c r="P118" s="2">
        <v>6398988000000</v>
      </c>
      <c r="Q118" s="2">
        <v>6632640000000</v>
      </c>
      <c r="R118" s="2">
        <v>9813584000000</v>
      </c>
      <c r="S118" s="2">
        <v>6720843000000</v>
      </c>
      <c r="T118" s="2">
        <v>4695331000000</v>
      </c>
      <c r="U118" s="2">
        <v>3054409000000</v>
      </c>
      <c r="V118" s="2">
        <v>1778337000000</v>
      </c>
      <c r="W118" s="2">
        <v>1334542000000</v>
      </c>
      <c r="X118" s="2">
        <v>1144783000000</v>
      </c>
      <c r="Y118" s="2">
        <v>1183215000000</v>
      </c>
    </row>
    <row r="119">
      <c r="B119" t="str">
        <v>Ekuitas</v>
      </c>
    </row>
    <row r="120">
      <c r="B120" t="str">
        <v>Modal Saham</v>
      </c>
      <c r="C120" s="2">
        <v>962344000000</v>
      </c>
      <c r="D120" s="2">
        <v>962344000000</v>
      </c>
      <c r="E120" s="2">
        <v>962344000000</v>
      </c>
      <c r="F120" s="2">
        <v>962344000000</v>
      </c>
      <c r="H120" s="2">
        <v>962344000000</v>
      </c>
      <c r="I120" s="2">
        <v>962344000000</v>
      </c>
      <c r="J120" s="2">
        <v>962344000000</v>
      </c>
      <c r="K120" s="2">
        <v>962344000000</v>
      </c>
      <c r="L120" s="2">
        <v>962344000000</v>
      </c>
      <c r="M120" s="2">
        <v>962344000000</v>
      </c>
      <c r="N120" s="2">
        <v>962344000000</v>
      </c>
      <c r="O120" s="2">
        <v>962344000000</v>
      </c>
      <c r="P120" s="2">
        <v>962344000000</v>
      </c>
      <c r="Q120" s="2">
        <v>962344000000</v>
      </c>
      <c r="R120" s="2">
        <v>787373000000</v>
      </c>
      <c r="S120" s="2">
        <v>787373000000</v>
      </c>
      <c r="T120" s="2">
        <v>787373000000</v>
      </c>
      <c r="U120" s="2">
        <v>787373000000</v>
      </c>
      <c r="V120" s="2">
        <v>787373000000</v>
      </c>
      <c r="W120" s="2">
        <v>787373000000</v>
      </c>
      <c r="X120" s="2">
        <v>787373000000</v>
      </c>
      <c r="Y120" s="2">
        <v>787373000000</v>
      </c>
    </row>
    <row r="121">
      <c r="B121" t="str">
        <v>Tambahan Modal Disetor</v>
      </c>
      <c r="C121" s="2">
        <v>3878995000000</v>
      </c>
      <c r="D121" s="2">
        <v>3878995000000</v>
      </c>
      <c r="E121" s="2">
        <v>3878995000000</v>
      </c>
      <c r="F121" s="2">
        <v>3878995000000</v>
      </c>
      <c r="H121" s="2">
        <v>3878995000000</v>
      </c>
      <c r="I121" s="2">
        <v>3878995000000</v>
      </c>
      <c r="J121" s="2">
        <v>3878995000000</v>
      </c>
      <c r="K121" s="2">
        <v>3878995000000</v>
      </c>
      <c r="L121" s="2">
        <v>3878995000000</v>
      </c>
      <c r="M121" s="2">
        <v>3878995000000</v>
      </c>
      <c r="N121" s="2">
        <v>3878995000000</v>
      </c>
      <c r="O121" s="2">
        <v>3878995000000</v>
      </c>
      <c r="P121" s="2">
        <v>3878995000000</v>
      </c>
      <c r="Q121" s="2">
        <v>3878995000000</v>
      </c>
      <c r="R121" s="2">
        <v>83603000000</v>
      </c>
      <c r="S121" s="2">
        <v>83603000000</v>
      </c>
      <c r="T121" s="2">
        <v>83603000000</v>
      </c>
      <c r="U121" s="2">
        <v>83603000000</v>
      </c>
      <c r="V121" s="2">
        <v>157500000000</v>
      </c>
      <c r="W121" s="2">
        <v>157500000000</v>
      </c>
      <c r="X121" s="2">
        <v>83476000000</v>
      </c>
      <c r="Y121" s="2">
        <v>83476000000</v>
      </c>
    </row>
    <row r="122">
      <c r="B122" t="str">
        <v>Saldo Laba</v>
      </c>
      <c r="C122" s="2">
        <v>19109485000000</v>
      </c>
      <c r="D122" s="2">
        <v>18748242000000</v>
      </c>
      <c r="E122" s="2">
        <v>18313259000000</v>
      </c>
      <c r="F122" s="2">
        <v>18182002000000</v>
      </c>
      <c r="H122" s="2">
        <v>18748242000000</v>
      </c>
      <c r="I122" s="2">
        <v>17834023000000</v>
      </c>
      <c r="J122" s="2">
        <v>17219242000000</v>
      </c>
      <c r="K122" s="2">
        <v>16920288000000</v>
      </c>
      <c r="L122" s="2">
        <v>16003068000000</v>
      </c>
      <c r="M122" s="2">
        <v>14496958000000</v>
      </c>
      <c r="N122" s="2">
        <v>13843880000000</v>
      </c>
      <c r="O122" s="2">
        <v>14181734000000</v>
      </c>
      <c r="P122" s="2">
        <v>13258048000000</v>
      </c>
      <c r="Q122" s="2">
        <v>12293945000000</v>
      </c>
      <c r="R122" s="2">
        <v>10413840000000</v>
      </c>
      <c r="S122" s="2">
        <v>10548430000000</v>
      </c>
      <c r="T122" s="2">
        <v>9023626000000</v>
      </c>
      <c r="U122" s="2">
        <v>8158203000000</v>
      </c>
      <c r="V122" s="2">
        <v>7194742000000</v>
      </c>
      <c r="W122" s="2">
        <v>6266814000000</v>
      </c>
      <c r="X122" s="2">
        <v>5355389000000</v>
      </c>
      <c r="Y122" s="2">
        <v>4285269000000</v>
      </c>
    </row>
    <row r="123">
      <c r="B123" t="str">
        <v>Telah Ditentukan Peng...</v>
      </c>
      <c r="C123" s="2">
        <v>192500000000</v>
      </c>
      <c r="D123" s="2">
        <v>192500000000</v>
      </c>
      <c r="E123" s="2">
        <v>192500000000</v>
      </c>
      <c r="F123" s="2">
        <v>192500000000</v>
      </c>
      <c r="H123" s="2">
        <v>192500000000</v>
      </c>
      <c r="I123" s="2">
        <v>192500000000</v>
      </c>
      <c r="J123" s="2">
        <v>192500000000</v>
      </c>
      <c r="K123" s="2">
        <v>192500000000</v>
      </c>
      <c r="L123" s="2">
        <v>192500000000</v>
      </c>
      <c r="M123" s="2">
        <v>192500000000</v>
      </c>
      <c r="N123" s="2">
        <v>192500000000</v>
      </c>
      <c r="O123" s="2">
        <v>192500000000</v>
      </c>
      <c r="P123" s="2">
        <v>192500000000</v>
      </c>
      <c r="Q123" s="2">
        <v>157500000000</v>
      </c>
      <c r="R123" s="2">
        <v>157500000000</v>
      </c>
      <c r="S123" s="2">
        <v>157500000000</v>
      </c>
      <c r="T123" s="2">
        <v>157500000000</v>
      </c>
      <c r="U123" s="2">
        <v>157500000000</v>
      </c>
      <c r="V123" s="2">
        <v>7111139000000</v>
      </c>
      <c r="W123" s="2">
        <v>6183211000000</v>
      </c>
      <c r="X123" s="2">
        <v>157500000000</v>
      </c>
      <c r="Y123" s="2">
        <v>157500000000</v>
      </c>
    </row>
    <row r="124">
      <c r="B124" t="str">
        <v>Belum Ditentukan Peng...</v>
      </c>
      <c r="C124" s="2">
        <v>18916985000000</v>
      </c>
      <c r="D124" s="2">
        <v>18555742000000</v>
      </c>
      <c r="E124" s="2">
        <v>18120759000000</v>
      </c>
      <c r="F124" s="2">
        <v>17989502000000</v>
      </c>
      <c r="H124" s="2">
        <v>18555742000000</v>
      </c>
      <c r="I124" s="2">
        <v>17641523000000</v>
      </c>
      <c r="J124" s="2">
        <v>17026742000000</v>
      </c>
      <c r="K124" s="2">
        <v>16727788000000</v>
      </c>
      <c r="L124" s="2">
        <v>15810568000000</v>
      </c>
      <c r="M124" s="2">
        <v>14304458000000</v>
      </c>
      <c r="N124" s="2">
        <v>13651380000000</v>
      </c>
      <c r="O124" s="2">
        <v>13989234000000</v>
      </c>
      <c r="P124" s="2">
        <v>13065548000000</v>
      </c>
      <c r="Q124" s="2">
        <v>12136445000000</v>
      </c>
      <c r="R124" s="2">
        <v>10256340000000</v>
      </c>
      <c r="S124" s="2">
        <v>10390930000000</v>
      </c>
      <c r="T124" s="2">
        <v>8866126000000</v>
      </c>
      <c r="U124" s="2">
        <v>8000703000000</v>
      </c>
      <c r="V124" s="2">
        <v>83603000000</v>
      </c>
      <c r="W124" s="2">
        <v>83603000000</v>
      </c>
      <c r="X124" s="2">
        <v>5197889000000</v>
      </c>
      <c r="Y124" s="2">
        <v>4127769000000</v>
      </c>
    </row>
    <row r="125">
      <c r="B125" t="str">
        <v>Total Saldo Laba</v>
      </c>
      <c r="C125" s="2">
        <v>19109485000000</v>
      </c>
      <c r="D125" s="2">
        <v>18748242000000</v>
      </c>
      <c r="E125" s="2">
        <v>18313259000000</v>
      </c>
      <c r="F125" s="2">
        <v>18182002000000</v>
      </c>
      <c r="H125" s="2">
        <v>18748242000000</v>
      </c>
      <c r="I125" s="2">
        <v>17834023000000</v>
      </c>
      <c r="J125" s="2">
        <v>17219242000000</v>
      </c>
      <c r="K125" s="2">
        <v>16920288000000</v>
      </c>
      <c r="L125" s="2">
        <v>16003068000000</v>
      </c>
      <c r="M125" s="2">
        <v>14496958000000</v>
      </c>
      <c r="N125" s="2">
        <v>13843880000000</v>
      </c>
      <c r="O125" s="2">
        <v>14181734000000</v>
      </c>
      <c r="P125" s="2">
        <v>13258048000000</v>
      </c>
      <c r="Q125" s="2">
        <v>12293945000000</v>
      </c>
      <c r="R125" s="2">
        <v>10413840000000</v>
      </c>
      <c r="S125" s="2">
        <v>10548430000000</v>
      </c>
      <c r="T125" s="2">
        <v>9023626000000</v>
      </c>
      <c r="U125" s="2">
        <v>8158203000000</v>
      </c>
      <c r="V125" s="2">
        <v>7194742000000</v>
      </c>
      <c r="W125" s="2">
        <v>6266814000000</v>
      </c>
      <c r="X125" s="2">
        <v>5355389000000</v>
      </c>
      <c r="Y125" s="2">
        <v>4285269000000</v>
      </c>
    </row>
    <row r="126">
      <c r="B126" t="str">
        <v>Kepentingan Non Pengenda...</v>
      </c>
      <c r="C126" s="2">
        <v>616137000000</v>
      </c>
      <c r="D126" s="2">
        <v>601497000000</v>
      </c>
      <c r="E126" s="2">
        <v>577026000000</v>
      </c>
      <c r="F126" s="2">
        <v>559696000000</v>
      </c>
      <c r="H126" s="2">
        <v>601497000000</v>
      </c>
      <c r="I126" s="2">
        <v>560144000000</v>
      </c>
      <c r="J126" s="2">
        <v>549961000000</v>
      </c>
      <c r="K126" s="2">
        <v>559184000000</v>
      </c>
      <c r="L126" s="2">
        <v>551981000000</v>
      </c>
      <c r="M126" s="2">
        <v>495301000000</v>
      </c>
      <c r="N126" s="2">
        <v>457374000000</v>
      </c>
      <c r="O126" s="2">
        <v>484893000000</v>
      </c>
      <c r="P126" s="2">
        <v>470495000000</v>
      </c>
      <c r="Q126" s="2">
        <v>458198000000</v>
      </c>
      <c r="R126" s="2">
        <v>413971000000</v>
      </c>
      <c r="S126" s="2">
        <v>418080000000</v>
      </c>
      <c r="T126" s="2">
        <v>373257000000</v>
      </c>
      <c r="U126" s="2">
        <v>336232000000</v>
      </c>
      <c r="V126" s="2">
        <v>286543000000</v>
      </c>
      <c r="W126" s="2">
        <v>245570000000</v>
      </c>
      <c r="X126" s="2">
        <v>200251000000</v>
      </c>
      <c r="Y126" s="2">
        <v>180331000000</v>
      </c>
    </row>
    <row r="127">
      <c r="B127" t="str">
        <v>Total Ekuitas</v>
      </c>
      <c r="C127" s="2">
        <v>24533517000000</v>
      </c>
      <c r="D127" s="2">
        <v>24157634000000</v>
      </c>
      <c r="E127" s="2">
        <v>23698180000000</v>
      </c>
      <c r="F127" s="2">
        <v>23549593000000</v>
      </c>
      <c r="H127" s="2">
        <v>24157634000000</v>
      </c>
      <c r="I127" s="2">
        <v>23202062000000</v>
      </c>
      <c r="J127" s="2">
        <v>22566006000000</v>
      </c>
      <c r="K127" s="2">
        <v>22243221000000</v>
      </c>
      <c r="L127" s="2">
        <v>21171173000000</v>
      </c>
      <c r="M127" s="2">
        <v>19247794000000</v>
      </c>
      <c r="N127" s="2">
        <v>18978527000000</v>
      </c>
      <c r="O127" s="2">
        <v>19474522000000</v>
      </c>
      <c r="P127" s="2">
        <v>18536438000000</v>
      </c>
      <c r="Q127" s="2">
        <v>17593482000000</v>
      </c>
      <c r="R127" s="2">
        <v>11698787000000</v>
      </c>
      <c r="S127" s="2">
        <v>11837486000000</v>
      </c>
      <c r="T127" s="2">
        <v>10267859000000</v>
      </c>
      <c r="U127" s="2">
        <v>9365411000000</v>
      </c>
      <c r="V127" s="2">
        <v>8426158000000</v>
      </c>
      <c r="W127" s="2">
        <v>7457257000000</v>
      </c>
      <c r="X127" s="2">
        <v>6426616000000</v>
      </c>
      <c r="Y127" s="2">
        <v>5336576000000</v>
      </c>
    </row>
    <row r="128">
      <c r="B128" t="str">
        <v>Total Liabilitas Dan Ekuitas</v>
      </c>
      <c r="C128" s="2">
        <v>27893355000000</v>
      </c>
      <c r="D128" s="2">
        <v>27047104000000</v>
      </c>
      <c r="E128" s="2">
        <v>27963180000000</v>
      </c>
      <c r="F128" s="2">
        <v>30505379000000</v>
      </c>
      <c r="H128" s="2">
        <v>27047104000000</v>
      </c>
      <c r="I128" s="2">
        <v>28793225000000</v>
      </c>
      <c r="J128" s="2">
        <v>28846243000000</v>
      </c>
      <c r="K128" s="2">
        <v>29249340000000</v>
      </c>
      <c r="L128" s="2">
        <v>30399906000000</v>
      </c>
      <c r="M128" s="2">
        <v>27781231000000</v>
      </c>
      <c r="N128" s="2">
        <v>26974124000000</v>
      </c>
      <c r="O128" s="2">
        <v>26856967000000</v>
      </c>
      <c r="P128" s="2">
        <v>24935426000000</v>
      </c>
      <c r="Q128" s="2">
        <v>24226122000000</v>
      </c>
      <c r="R128" s="2">
        <v>21512371000000</v>
      </c>
      <c r="S128" s="2">
        <v>18558329000000</v>
      </c>
      <c r="T128" s="2">
        <v>14963190000000</v>
      </c>
      <c r="U128" s="2">
        <v>12419820000000</v>
      </c>
      <c r="V128" s="2">
        <v>10204495000000</v>
      </c>
      <c r="W128" s="2">
        <v>8791799000000</v>
      </c>
      <c r="X128" s="2">
        <v>7571399000000</v>
      </c>
      <c r="Y128" s="2">
        <v>6519791000000</v>
      </c>
    </row>
    <row r="129">
      <c r="B129" t="str">
        <v>Saham Beredar</v>
      </c>
      <c r="C129" s="2">
        <v>1924688333</v>
      </c>
      <c r="D129" s="2">
        <v>1924688333</v>
      </c>
      <c r="E129" s="2">
        <v>1924688333</v>
      </c>
      <c r="F129" s="2">
        <v>1924688333</v>
      </c>
      <c r="H129" s="2">
        <v>1924688333</v>
      </c>
      <c r="I129" s="2">
        <v>1924688333</v>
      </c>
      <c r="J129" s="2">
        <v>1924688333</v>
      </c>
      <c r="K129" s="2">
        <v>1924688333</v>
      </c>
      <c r="L129" s="2">
        <v>1924688333</v>
      </c>
      <c r="M129" s="2">
        <v>1924688333</v>
      </c>
      <c r="N129" s="2">
        <v>1924688333</v>
      </c>
      <c r="O129" s="2">
        <v>1924688333</v>
      </c>
      <c r="P129" s="2">
        <v>1924688333</v>
      </c>
      <c r="Q129" s="2">
        <v>1924688333</v>
      </c>
      <c r="R129" s="2">
        <v>1574745000</v>
      </c>
      <c r="S129" s="2">
        <v>1574745000</v>
      </c>
      <c r="T129" s="2">
        <v>1574745000</v>
      </c>
      <c r="U129" s="2">
        <v>1574745000</v>
      </c>
      <c r="V129" s="2">
        <v>1574745000</v>
      </c>
      <c r="W129" s="2">
        <v>1574745000</v>
      </c>
      <c r="X129" s="2">
        <v>1574745000</v>
      </c>
      <c r="Y129" s="2">
        <v>1574745000</v>
      </c>
    </row>
    <row r="131">
      <c r="A131" t="str">
        <v>Cash Flow</v>
      </c>
      <c r="B131" t="str">
        <v>Arus Kas Dari Aktivitas Operasi</v>
      </c>
      <c r="C131" s="2">
        <v>2084066000000</v>
      </c>
      <c r="D131" s="2">
        <v>-1545774000000</v>
      </c>
      <c r="E131" s="2">
        <v>1908655000000</v>
      </c>
      <c r="F131" s="2">
        <v>1531898000000</v>
      </c>
      <c r="H131" s="2">
        <v>4210590000000</v>
      </c>
      <c r="I131" s="2">
        <v>3379195000000</v>
      </c>
      <c r="J131" s="2">
        <v>2538738000000</v>
      </c>
      <c r="K131" s="2">
        <v>1835397000000</v>
      </c>
      <c r="L131" s="2">
        <v>4895119000000</v>
      </c>
      <c r="M131" s="2">
        <v>2322164000000</v>
      </c>
      <c r="N131" s="2">
        <v>1292353000000</v>
      </c>
      <c r="O131" s="2">
        <v>2045235000000</v>
      </c>
      <c r="P131" s="2">
        <v>2841822000000</v>
      </c>
      <c r="Q131" s="2">
        <v>2511823000000</v>
      </c>
      <c r="R131" s="2">
        <v>1027773000000</v>
      </c>
      <c r="S131" s="2">
        <v>3022020000000</v>
      </c>
      <c r="T131" s="2">
        <v>3156531000000</v>
      </c>
      <c r="U131" s="2">
        <v>2609511000000</v>
      </c>
      <c r="V131" s="2">
        <v>3162475000000</v>
      </c>
      <c r="W131" s="2">
        <v>2946657000000</v>
      </c>
      <c r="X131" s="2">
        <v>1984894000000</v>
      </c>
      <c r="Y131" s="2">
        <v>2087429000000</v>
      </c>
    </row>
    <row r="132">
      <c r="B132" t="str">
        <v>Penerimaan Dari Pelanggan</v>
      </c>
      <c r="C132" s="2">
        <v>7857735000000</v>
      </c>
      <c r="D132" s="2">
        <v>5829878000000</v>
      </c>
      <c r="E132" s="2">
        <v>8040052000000</v>
      </c>
      <c r="F132" s="2">
        <v>7034993000000</v>
      </c>
      <c r="H132" s="2">
        <v>27943563000000</v>
      </c>
      <c r="I132" s="2">
        <v>22126286000000</v>
      </c>
      <c r="J132" s="2">
        <v>20887611000000</v>
      </c>
      <c r="K132" s="2">
        <v>21267225000000</v>
      </c>
      <c r="L132" s="2">
        <v>24909734000000</v>
      </c>
      <c r="M132" s="2">
        <v>18376924000000</v>
      </c>
      <c r="N132" s="2">
        <v>17414370000000</v>
      </c>
      <c r="O132" s="2">
        <v>19118173000000</v>
      </c>
      <c r="P132" s="2">
        <v>17018349000000</v>
      </c>
      <c r="Q132" s="2">
        <v>13756286000000</v>
      </c>
      <c r="R132" s="2">
        <v>13177433000000</v>
      </c>
      <c r="S132" s="2">
        <v>16084254000000</v>
      </c>
      <c r="T132" s="2">
        <v>12647946000000</v>
      </c>
      <c r="U132" s="2">
        <v>11599252000000</v>
      </c>
      <c r="V132" s="2">
        <v>10945042000000</v>
      </c>
      <c r="W132" s="2">
        <v>8999345000000</v>
      </c>
      <c r="X132" s="2">
        <v>7411848000000</v>
      </c>
      <c r="Y132" s="2">
        <v>8155293000000</v>
      </c>
    </row>
    <row r="133">
      <c r="B133" t="str">
        <v>Penerimaan Penghasilan Bu...</v>
      </c>
      <c r="C133" s="2">
        <v>34885000000</v>
      </c>
      <c r="D133" s="2">
        <v>46236000000</v>
      </c>
      <c r="E133" s="2">
        <v>95507000000</v>
      </c>
      <c r="F133" s="2">
        <v>75985000000</v>
      </c>
      <c r="H133" s="2">
        <v>279792000000</v>
      </c>
      <c r="I133" s="2">
        <v>211496000000</v>
      </c>
      <c r="J133" s="2">
        <v>99465000000</v>
      </c>
      <c r="K133" s="2">
        <v>76242000000</v>
      </c>
      <c r="L133" s="2">
        <v>65134000000</v>
      </c>
      <c r="M133" s="2">
        <v>55609000000</v>
      </c>
      <c r="N133" s="2">
        <v>31106000000</v>
      </c>
      <c r="O133" s="2">
        <v>23773000000</v>
      </c>
      <c r="P133" s="2">
        <v>24442000000</v>
      </c>
      <c r="Q133" s="2">
        <v>22740000000</v>
      </c>
      <c r="R133" s="2">
        <v>23983000000</v>
      </c>
      <c r="S133" s="2">
        <v>18649000000</v>
      </c>
      <c r="T133" s="2">
        <v>10388000000</v>
      </c>
      <c r="U133" s="2">
        <v>16315000000</v>
      </c>
      <c r="V133" s="2">
        <v>68965000000</v>
      </c>
      <c r="W133" s="2">
        <v>29284000000</v>
      </c>
      <c r="X133" s="2">
        <v>47827000000</v>
      </c>
      <c r="Y133" s="2">
        <v>101398000000</v>
      </c>
    </row>
    <row r="134">
      <c r="B134" t="str">
        <v>Pembayaran Kepada Pemasok...</v>
      </c>
      <c r="C134" s="2">
        <v>-5410290000000</v>
      </c>
      <c r="D134" s="2">
        <v>-7042262000000</v>
      </c>
      <c r="E134" s="2">
        <v>-5700962000000</v>
      </c>
      <c r="F134" s="2">
        <v>-5165344000000</v>
      </c>
      <c r="H134" s="2">
        <v>-22638534000000</v>
      </c>
      <c r="I134" s="2">
        <v>-18071373000000</v>
      </c>
      <c r="J134" s="2">
        <v>-17623354000000</v>
      </c>
      <c r="K134" s="2">
        <v>-17032385000000</v>
      </c>
      <c r="L134" s="2">
        <v>-19891592000000</v>
      </c>
      <c r="M134" s="2">
        <v>-15656118000000</v>
      </c>
      <c r="N134" s="2">
        <v>-15014707000000</v>
      </c>
      <c r="O134" s="2">
        <v>-15591781000000</v>
      </c>
      <c r="P134" s="2">
        <v>-12744315000000</v>
      </c>
      <c r="Q134" s="2">
        <v>-10021060000000</v>
      </c>
      <c r="R134" s="2">
        <v>-10177262000000</v>
      </c>
      <c r="S134" s="2">
        <v>-11460160000000</v>
      </c>
      <c r="T134" s="2">
        <v>-7776496000000</v>
      </c>
      <c r="U134" s="2">
        <v>-7343681000000</v>
      </c>
      <c r="V134" s="2">
        <v>-6680451000000</v>
      </c>
      <c r="W134" s="2">
        <v>-4911353000000</v>
      </c>
      <c r="X134" s="2">
        <v>-4052588000000</v>
      </c>
      <c r="Y134" s="2">
        <v>-4658440000000</v>
      </c>
    </row>
    <row r="135">
      <c r="B135" t="str">
        <v>Pembayaran Pajak</v>
      </c>
      <c r="C135" s="2">
        <v>-375933000000</v>
      </c>
      <c r="D135" s="2">
        <v>-1219777000000</v>
      </c>
      <c r="E135" s="2">
        <v>-198047000000</v>
      </c>
      <c r="F135" s="2">
        <v>614734000000</v>
      </c>
      <c r="H135" s="2">
        <v>-1041125000000</v>
      </c>
      <c r="I135" s="2">
        <v>-1269131000000</v>
      </c>
      <c r="J135" s="2">
        <v>119350000000</v>
      </c>
      <c r="K135" s="2">
        <v>-1699607000000</v>
      </c>
      <c r="L135" s="2">
        <v>39286000000</v>
      </c>
      <c r="M135" s="2">
        <v>560293000000</v>
      </c>
      <c r="N135" s="2">
        <v>-233349000000</v>
      </c>
      <c r="O135" s="2">
        <v>-1090792000000</v>
      </c>
      <c r="P135" s="2">
        <v>-933423000000</v>
      </c>
      <c r="Q135" s="2">
        <v>-797543000000</v>
      </c>
      <c r="R135" s="2">
        <v>-1153162000000</v>
      </c>
      <c r="S135" s="2">
        <v>-985348000000</v>
      </c>
      <c r="T135" s="2">
        <v>-1070115000000</v>
      </c>
      <c r="U135" s="2">
        <v>-1166646000000</v>
      </c>
      <c r="V135" s="2">
        <v>-810114000000</v>
      </c>
      <c r="W135" s="2">
        <v>-782951000000</v>
      </c>
      <c r="X135" s="2">
        <v>-1034898000000</v>
      </c>
      <c r="Y135" s="2">
        <v>-1285307000000</v>
      </c>
    </row>
    <row r="136">
      <c r="B136" t="str">
        <v>Penerimaan Dari Kelebihan...</v>
      </c>
      <c r="C136" s="2">
        <v>308533000000</v>
      </c>
      <c r="D136" s="2">
        <v>1287154000000</v>
      </c>
      <c r="F136" s="2">
        <v>-532517000000</v>
      </c>
      <c r="H136" s="2">
        <v>1287154000000</v>
      </c>
      <c r="I136" s="2">
        <v>1163346000000</v>
      </c>
    </row>
    <row r="137">
      <c r="B137" t="str">
        <v>Pembayaran Beban Operasio...</v>
      </c>
      <c r="C137" s="2">
        <v>-330864000000</v>
      </c>
      <c r="D137" s="2">
        <v>-447003000000</v>
      </c>
      <c r="E137" s="2">
        <v>-327895000000</v>
      </c>
      <c r="F137" s="2">
        <v>-495953000000</v>
      </c>
      <c r="H137" s="2">
        <v>-1620260000000</v>
      </c>
      <c r="I137" s="2">
        <v>-781429000000</v>
      </c>
      <c r="J137" s="2">
        <v>-944334000000</v>
      </c>
      <c r="K137" s="2">
        <v>-776078000000</v>
      </c>
      <c r="L137" s="2">
        <v>-227443000000</v>
      </c>
      <c r="M137" s="2">
        <v>-1014544000000</v>
      </c>
      <c r="N137" s="2">
        <v>-905067000000</v>
      </c>
      <c r="O137" s="2">
        <v>-414138000000</v>
      </c>
      <c r="P137" s="2">
        <v>-523231000000</v>
      </c>
      <c r="Q137" s="2">
        <v>-448600000000</v>
      </c>
      <c r="R137" s="2">
        <v>-843219000000</v>
      </c>
      <c r="S137" s="2">
        <v>-635375000000</v>
      </c>
      <c r="T137" s="2">
        <v>-655192000000</v>
      </c>
      <c r="U137" s="2">
        <v>-495729000000</v>
      </c>
      <c r="V137" s="2">
        <v>-360967000000</v>
      </c>
      <c r="W137" s="2">
        <v>-387668000000</v>
      </c>
      <c r="X137" s="2">
        <v>-387295000000</v>
      </c>
      <c r="Y137" s="2">
        <v>-225515000000</v>
      </c>
    </row>
    <row r="138">
      <c r="B138" t="str">
        <v>Total Arus Kas Dari Aktivitas...</v>
      </c>
      <c r="C138" s="2">
        <v>-402000000</v>
      </c>
      <c r="D138" s="2">
        <v>-327816000000</v>
      </c>
      <c r="E138" s="2">
        <v>-3157554000000</v>
      </c>
      <c r="F138" s="2">
        <v>-428345000000</v>
      </c>
      <c r="H138" s="2">
        <v>-3963156000000</v>
      </c>
      <c r="I138" s="2">
        <v>-1325763000000</v>
      </c>
      <c r="J138" s="2">
        <v>-1043718000000</v>
      </c>
      <c r="K138" s="2">
        <v>-3006151000000</v>
      </c>
      <c r="L138" s="2">
        <v>-891402000000</v>
      </c>
      <c r="M138" s="2">
        <v>-767945000000</v>
      </c>
      <c r="N138" s="2">
        <v>334094000000</v>
      </c>
      <c r="O138" s="2">
        <v>-609332000000</v>
      </c>
      <c r="P138" s="2">
        <v>-1361618000000</v>
      </c>
      <c r="Q138" s="2">
        <v>116463000000</v>
      </c>
      <c r="R138" s="2">
        <v>1771196000000</v>
      </c>
      <c r="S138" s="2">
        <v>448912000000</v>
      </c>
      <c r="T138" s="2">
        <v>178607000000</v>
      </c>
      <c r="U138" s="2">
        <v>-593915000000</v>
      </c>
      <c r="V138" s="2">
        <v>-1537968000000</v>
      </c>
      <c r="W138" s="2">
        <v>-1083520000000</v>
      </c>
      <c r="X138" s="2">
        <v>-666117000000</v>
      </c>
      <c r="Y138" s="2">
        <v>-1576961000000</v>
      </c>
    </row>
    <row r="139">
      <c r="B139" t="str">
        <v>Arus Kas Dari Aktivitas Investa...</v>
      </c>
      <c r="C139" s="2">
        <v>-137958000000</v>
      </c>
      <c r="D139" s="2">
        <v>-350655000000</v>
      </c>
      <c r="E139" s="2">
        <v>-181497000000</v>
      </c>
      <c r="F139" s="2">
        <v>-140722000000</v>
      </c>
      <c r="H139" s="2">
        <v>-781980000000</v>
      </c>
      <c r="I139" s="2">
        <v>-940603000000</v>
      </c>
      <c r="J139" s="2">
        <v>-1020975000000</v>
      </c>
      <c r="K139" s="2">
        <v>-1142218000000</v>
      </c>
      <c r="L139" s="2">
        <v>-1186688000000</v>
      </c>
      <c r="M139" s="2">
        <v>-999198000000</v>
      </c>
      <c r="N139" s="2">
        <v>-1307383000000</v>
      </c>
      <c r="O139" s="2">
        <v>-1678767000000</v>
      </c>
      <c r="P139" s="2">
        <v>-1753504000000</v>
      </c>
      <c r="Q139" s="2">
        <v>-2395413000000</v>
      </c>
      <c r="R139" s="2">
        <v>-3119463000000</v>
      </c>
      <c r="S139" s="2">
        <v>-3586952000000</v>
      </c>
      <c r="T139" s="2">
        <v>-2869835000000</v>
      </c>
      <c r="U139" s="2">
        <v>-2630545000000</v>
      </c>
      <c r="V139" s="2">
        <v>-2026977000000</v>
      </c>
      <c r="W139" s="2">
        <v>-1390878000000</v>
      </c>
      <c r="X139" s="2">
        <v>-1293490000000</v>
      </c>
      <c r="Y139" s="2">
        <v>-741123000000</v>
      </c>
    </row>
    <row r="140">
      <c r="B140" t="str">
        <v>Perolehan Aset Tetap</v>
      </c>
      <c r="C140" s="2">
        <v>-35967000000</v>
      </c>
      <c r="D140" s="2">
        <v>-175395000000</v>
      </c>
      <c r="E140" s="2">
        <v>-47361000000</v>
      </c>
      <c r="F140" s="2">
        <v>-46851000000</v>
      </c>
      <c r="H140" s="2">
        <v>-299057000000</v>
      </c>
      <c r="I140" s="2">
        <v>-411661000000</v>
      </c>
      <c r="J140" s="2">
        <v>-715685000000</v>
      </c>
      <c r="K140" s="2">
        <v>-791413000000</v>
      </c>
      <c r="L140" s="2">
        <v>-763501000000</v>
      </c>
      <c r="M140" s="2">
        <v>-461413000000</v>
      </c>
      <c r="N140" s="2">
        <v>-653547000000</v>
      </c>
      <c r="O140" s="2">
        <v>-939268000000</v>
      </c>
      <c r="P140" s="2">
        <v>-1038890000000</v>
      </c>
      <c r="Q140" s="2">
        <v>-1533609000000</v>
      </c>
      <c r="R140" s="2">
        <v>-1612088000000</v>
      </c>
      <c r="S140" s="2">
        <v>-2306915000000</v>
      </c>
      <c r="T140" s="2">
        <v>-2171006000000</v>
      </c>
      <c r="U140" s="2">
        <v>-1775489000000</v>
      </c>
      <c r="V140" s="2">
        <v>-1086293000000</v>
      </c>
      <c r="W140" s="2">
        <v>-685609000000</v>
      </c>
      <c r="X140" s="2">
        <v>-520988000000</v>
      </c>
      <c r="Y140" s="2">
        <v>-547675000000</v>
      </c>
    </row>
    <row r="141">
      <c r="B141" t="str">
        <v>Pemeliharaan Tanaman Perk...</v>
      </c>
      <c r="W141" s="2">
        <v>-791507000000</v>
      </c>
      <c r="X141" s="2">
        <v>-756526000000</v>
      </c>
      <c r="Y141" s="2">
        <v>-661912000000</v>
      </c>
    </row>
    <row r="142">
      <c r="B142" t="str">
        <v>Penerimaan Dari Pelepasan...</v>
      </c>
      <c r="V142" s="2">
        <v>5613000000</v>
      </c>
      <c r="W142" s="2">
        <v>145229000000</v>
      </c>
    </row>
    <row r="143">
      <c r="B143" t="str">
        <v>Penambahan Piutang Pihak ...</v>
      </c>
      <c r="O143" s="2">
        <v>-69999000000</v>
      </c>
    </row>
    <row r="144">
      <c r="B144" t="str">
        <v>Penerimaan Piutang Jangka...</v>
      </c>
      <c r="J144" s="2">
        <v>215362000000</v>
      </c>
      <c r="K144" s="2">
        <v>237226000000</v>
      </c>
      <c r="L144" s="2">
        <v>42794000000</v>
      </c>
    </row>
    <row r="145">
      <c r="B145" t="str">
        <v>Penambahan Aset Biologis</v>
      </c>
      <c r="M145" s="2">
        <v>-28687000000</v>
      </c>
      <c r="N145" s="2">
        <v>-35511000000</v>
      </c>
    </row>
    <row r="146">
      <c r="B146" t="str">
        <v>Penambahan Aset Hewan</v>
      </c>
      <c r="O146" s="2">
        <v>-31891000000</v>
      </c>
      <c r="P146" s="2">
        <v>-90819000000</v>
      </c>
      <c r="Q146" s="2">
        <v>-45497000000</v>
      </c>
    </row>
    <row r="147">
      <c r="B147" t="str">
        <v>Penambahan Tanaman Perkeb...</v>
      </c>
      <c r="C147" s="2">
        <v>-101991000000</v>
      </c>
      <c r="D147" s="2">
        <v>-175260000000</v>
      </c>
      <c r="E147" s="2">
        <v>-134136000000</v>
      </c>
      <c r="F147" s="2">
        <v>-93871000000</v>
      </c>
      <c r="H147" s="2">
        <v>-482923000000</v>
      </c>
      <c r="I147" s="2">
        <v>-528942000000</v>
      </c>
      <c r="J147" s="2">
        <v>-520652000000</v>
      </c>
      <c r="K147" s="2">
        <v>-588031000000</v>
      </c>
      <c r="L147" s="2">
        <v>-465981000000</v>
      </c>
      <c r="M147" s="2">
        <v>-509098000000</v>
      </c>
      <c r="N147" s="2">
        <v>-618325000000</v>
      </c>
      <c r="O147" s="2">
        <v>-637609000000</v>
      </c>
      <c r="P147" s="2">
        <v>-623795000000</v>
      </c>
      <c r="Q147" s="2">
        <v>-751206000000</v>
      </c>
      <c r="R147" s="2">
        <v>-974246000000</v>
      </c>
      <c r="S147" s="2">
        <v>-971311000000</v>
      </c>
      <c r="T147" s="2">
        <v>-685019000000</v>
      </c>
      <c r="U147" s="2">
        <v>-824417000000</v>
      </c>
      <c r="V147" s="2">
        <v>-800771000000</v>
      </c>
      <c r="W147" s="2">
        <v>-58991000000</v>
      </c>
    </row>
    <row r="148">
      <c r="B148" t="str">
        <v>Penambahan Perkebunan Pla...</v>
      </c>
      <c r="T148" s="2">
        <v>-5428000000</v>
      </c>
      <c r="U148" s="2">
        <v>-30639000000</v>
      </c>
      <c r="V148" s="2">
        <v>-81385000000</v>
      </c>
      <c r="X148" s="2">
        <v>-6476000000</v>
      </c>
      <c r="Y148" s="2">
        <v>-69821000000</v>
      </c>
    </row>
    <row r="149">
      <c r="B149" t="str">
        <v>Perolehan Hak Atas Tanah</v>
      </c>
      <c r="Q149" s="2">
        <v>-65101000000</v>
      </c>
      <c r="R149" s="2">
        <v>-458129000000</v>
      </c>
      <c r="V149" s="2">
        <v>-64141000000</v>
      </c>
    </row>
    <row r="150">
      <c r="B150" t="str">
        <v>Pembayaran Tambahan Untuk...</v>
      </c>
      <c r="S150" s="2">
        <v>-308726000000</v>
      </c>
      <c r="X150" s="2">
        <v>-9500000000</v>
      </c>
      <c r="Y150" s="2">
        <v>-12685000000</v>
      </c>
    </row>
    <row r="151">
      <c r="B151" t="str">
        <v>Penambahan Investasi Pada...</v>
      </c>
      <c r="R151" s="2">
        <v>-75000000000</v>
      </c>
      <c r="T151" s="2">
        <v>-8382000000</v>
      </c>
    </row>
    <row r="152">
      <c r="B152" t="str">
        <v>Arus Kas Dari Aktivitas Pendana...</v>
      </c>
      <c r="C152" s="2">
        <v>-402000000</v>
      </c>
      <c r="D152" s="2">
        <v>-327816000000</v>
      </c>
      <c r="E152" s="2">
        <v>-3157554000000</v>
      </c>
      <c r="F152" s="2">
        <v>-428345000000</v>
      </c>
      <c r="H152" s="2">
        <v>-3963156000000</v>
      </c>
      <c r="I152" s="2">
        <v>-1325763000000</v>
      </c>
      <c r="J152" s="2">
        <v>-1043718000000</v>
      </c>
      <c r="K152" s="2">
        <v>-3006151000000</v>
      </c>
      <c r="L152" s="2">
        <v>-891402000000</v>
      </c>
      <c r="M152" s="2">
        <v>-767945000000</v>
      </c>
      <c r="N152" s="2">
        <v>334094000000</v>
      </c>
      <c r="O152" s="2">
        <v>-609332000000</v>
      </c>
      <c r="P152" s="2">
        <v>-1361618000000</v>
      </c>
      <c r="Q152" s="2">
        <v>116463000000</v>
      </c>
      <c r="R152" s="2">
        <v>1771196000000</v>
      </c>
      <c r="S152" s="2">
        <v>448912000000</v>
      </c>
      <c r="T152" s="2">
        <v>178607000000</v>
      </c>
      <c r="U152" s="2">
        <v>-593915000000</v>
      </c>
      <c r="V152" s="2">
        <v>-1537968000000</v>
      </c>
      <c r="W152" s="2">
        <v>-1083520000000</v>
      </c>
      <c r="X152" s="2">
        <v>-666117000000</v>
      </c>
      <c r="Y152" s="2">
        <v>-1576961000000</v>
      </c>
    </row>
    <row r="153">
      <c r="B153" t="str">
        <v>Penerimaan Pinjaman Bank</v>
      </c>
      <c r="I153" s="2">
        <v>1500000000000</v>
      </c>
      <c r="K153" s="2">
        <v>1700000000000</v>
      </c>
      <c r="M153" s="2">
        <v>550000000000</v>
      </c>
      <c r="N153" s="2">
        <v>3135550000000</v>
      </c>
      <c r="O153" s="2">
        <v>1225000000000</v>
      </c>
      <c r="P153" s="2">
        <v>5020750000000</v>
      </c>
      <c r="Q153" s="2">
        <v>1285340000000</v>
      </c>
      <c r="R153" s="2">
        <v>4723275000000</v>
      </c>
      <c r="S153" s="2">
        <v>2126881000000</v>
      </c>
      <c r="T153" s="2">
        <v>1551655000000</v>
      </c>
      <c r="U153" s="2">
        <v>960640000000</v>
      </c>
      <c r="X153" s="2">
        <v>132375000000</v>
      </c>
    </row>
    <row r="154">
      <c r="B154" t="str">
        <v>Penerimaan Dari Penawaran...</v>
      </c>
      <c r="Q154" s="2">
        <v>3970363000000</v>
      </c>
    </row>
    <row r="155">
      <c r="B155" t="str">
        <v>Pembayaran Dividen Kas</v>
      </c>
      <c r="D155" s="2">
        <v>-236773000000</v>
      </c>
      <c r="F155" s="2">
        <v>-354106000000</v>
      </c>
      <c r="H155" s="2">
        <v>-590879000000</v>
      </c>
      <c r="I155" s="2">
        <v>-479199000000</v>
      </c>
      <c r="J155" s="2">
        <v>-771721000000</v>
      </c>
      <c r="K155" s="2">
        <v>-854474000000</v>
      </c>
      <c r="L155" s="2">
        <v>-490745000000</v>
      </c>
      <c r="M155" s="2">
        <v>-175130000000</v>
      </c>
      <c r="N155" s="2">
        <v>-431091000000</v>
      </c>
      <c r="O155" s="2">
        <v>-835247000000</v>
      </c>
      <c r="P155" s="2">
        <v>-996896000000</v>
      </c>
      <c r="Q155" s="2">
        <v>-190527000000</v>
      </c>
      <c r="R155" s="2">
        <v>-743196000000</v>
      </c>
      <c r="S155" s="2">
        <v>-943165000000</v>
      </c>
      <c r="T155" s="2">
        <v>-968359000000</v>
      </c>
      <c r="U155" s="2">
        <v>-1456422000000</v>
      </c>
      <c r="V155" s="2">
        <v>-1480146000000</v>
      </c>
      <c r="W155" s="2">
        <v>-1031290000000</v>
      </c>
      <c r="X155" s="2">
        <v>-590452000000</v>
      </c>
      <c r="Y155" s="2">
        <v>-1535297000000</v>
      </c>
    </row>
    <row r="156">
      <c r="B156" t="str">
        <v>Pembayaran Pinjaman Bank</v>
      </c>
      <c r="D156" s="2">
        <v>-90000000000</v>
      </c>
      <c r="E156" s="2">
        <v>-3100000000000</v>
      </c>
      <c r="H156" s="2">
        <v>-3190000000000</v>
      </c>
      <c r="I156" s="2">
        <v>-2139710000000</v>
      </c>
      <c r="J156" s="2">
        <v>-5000000000</v>
      </c>
      <c r="K156" s="2">
        <v>-3374786000000</v>
      </c>
      <c r="M156" s="2">
        <v>-700000000000</v>
      </c>
      <c r="N156" s="2">
        <v>-1975000000000</v>
      </c>
      <c r="O156" s="2">
        <v>-700000000000</v>
      </c>
      <c r="P156" s="2">
        <v>-5176759000000</v>
      </c>
      <c r="Q156" s="2">
        <v>-4735648000000</v>
      </c>
      <c r="R156" s="2">
        <v>-2013341000000</v>
      </c>
      <c r="S156" s="2">
        <v>-570618000000</v>
      </c>
      <c r="T156" s="2">
        <v>-264860000000</v>
      </c>
      <c r="X156" s="2">
        <v>-132198000000</v>
      </c>
      <c r="Y156" s="2">
        <v>-5000000000</v>
      </c>
    </row>
    <row r="157">
      <c r="B157" t="str">
        <v>Pembayaran Dividen Kas Ke...</v>
      </c>
      <c r="W157" s="2">
        <v>-41553000000</v>
      </c>
      <c r="X157" s="2">
        <v>-49079000000</v>
      </c>
      <c r="Y157" s="2">
        <v>-45977000000</v>
      </c>
    </row>
    <row r="158">
      <c r="B158" t="str">
        <v>Penerimaan Piutang Dari P...</v>
      </c>
      <c r="Y158" s="2">
        <v>9513000000</v>
      </c>
    </row>
    <row r="159">
      <c r="B159" t="str">
        <v>Pembayaran Atas Akuisisi ...</v>
      </c>
      <c r="P159" s="2">
        <v>-48000000000</v>
      </c>
    </row>
    <row r="160">
      <c r="B160" t="str">
        <v>Penerimaan Dividen Kas Da...</v>
      </c>
      <c r="I160" s="2">
        <v>91916000000</v>
      </c>
      <c r="J160" s="2">
        <v>44612000000</v>
      </c>
      <c r="L160" s="2">
        <v>37785000000</v>
      </c>
    </row>
    <row r="161">
      <c r="B161" t="str">
        <v>Pembayaran Beban Keuangan</v>
      </c>
      <c r="W161" s="2">
        <v>-10677000000</v>
      </c>
      <c r="X161" s="2">
        <v>-26763000000</v>
      </c>
      <c r="Y161" s="2">
        <v>-200000000</v>
      </c>
    </row>
    <row r="162">
      <c r="B162" t="str">
        <v>Pembayaran Biaya Pendanaa...</v>
      </c>
      <c r="C162" s="2">
        <v>-402000000</v>
      </c>
      <c r="D162" s="2">
        <v>-1043000000</v>
      </c>
      <c r="E162" s="2">
        <v>-57554000000</v>
      </c>
      <c r="F162" s="2">
        <v>-48822000000</v>
      </c>
      <c r="H162" s="2">
        <v>-156860000000</v>
      </c>
      <c r="I162" s="2">
        <v>-270932000000</v>
      </c>
      <c r="J162" s="2">
        <v>-269819000000</v>
      </c>
      <c r="K162" s="2">
        <v>-417581000000</v>
      </c>
      <c r="L162" s="2">
        <v>-398542000000</v>
      </c>
      <c r="M162" s="2">
        <v>-419975000000</v>
      </c>
      <c r="N162" s="2">
        <v>-335723000000</v>
      </c>
      <c r="O162" s="2">
        <v>-224429000000</v>
      </c>
      <c r="P162" s="2">
        <v>-84643000000</v>
      </c>
      <c r="Q162" s="2">
        <v>-148154000000</v>
      </c>
      <c r="R162" s="2">
        <v>-114428000000</v>
      </c>
      <c r="S162" s="2">
        <v>-92440000000</v>
      </c>
      <c r="T162" s="2">
        <v>-74495000000</v>
      </c>
      <c r="U162" s="2">
        <v>-40371000000</v>
      </c>
      <c r="V162" s="2">
        <v>-5794000000</v>
      </c>
    </row>
    <row r="163">
      <c r="B163" t="str">
        <v>Kenaikan (Penurunan) Bersih Kas...</v>
      </c>
      <c r="C163" s="2">
        <v>1945706000000</v>
      </c>
      <c r="D163" s="2">
        <v>-2224245000000</v>
      </c>
      <c r="E163" s="2">
        <v>-1430396000000</v>
      </c>
      <c r="F163" s="2">
        <v>962831000000</v>
      </c>
      <c r="H163" s="2">
        <v>-534546000000</v>
      </c>
      <c r="I163" s="2">
        <v>1112829000000</v>
      </c>
      <c r="J163" s="2">
        <v>474045000000</v>
      </c>
      <c r="K163" s="2">
        <v>-2312972000000</v>
      </c>
      <c r="L163" s="2">
        <v>2817029000000</v>
      </c>
      <c r="M163" s="2">
        <v>555021000000</v>
      </c>
      <c r="N163" s="2">
        <v>319064000000</v>
      </c>
      <c r="O163" s="2">
        <v>-242864000000</v>
      </c>
      <c r="P163" s="2">
        <v>-273300000000</v>
      </c>
      <c r="Q163" s="2">
        <v>232873000000</v>
      </c>
      <c r="R163" s="2">
        <v>-320494000000</v>
      </c>
      <c r="S163" s="2">
        <v>-116020000000</v>
      </c>
      <c r="T163" s="2">
        <v>465303000000</v>
      </c>
      <c r="U163" s="2">
        <v>-614949000000</v>
      </c>
      <c r="V163" s="2">
        <v>-402470000000</v>
      </c>
      <c r="W163" s="2">
        <v>472259000000</v>
      </c>
      <c r="X163" s="2">
        <v>25287000000</v>
      </c>
      <c r="Y163" s="2">
        <v>-230655000000</v>
      </c>
    </row>
    <row r="164">
      <c r="B164" t="str">
        <v>Dampak Neto Perubahan Nilai Tuk...</v>
      </c>
      <c r="C164" s="2">
        <v>2433000000</v>
      </c>
      <c r="D164" s="2">
        <v>51018000000</v>
      </c>
      <c r="E164" s="2">
        <v>34654000000</v>
      </c>
      <c r="F164" s="2">
        <v>23554000000</v>
      </c>
      <c r="H164" s="2">
        <v>54249000000</v>
      </c>
      <c r="I164" s="2">
        <v>33675000000</v>
      </c>
      <c r="J164" s="2">
        <v>-4153000000</v>
      </c>
      <c r="K164" s="2">
        <v>36566000000</v>
      </c>
      <c r="L164" s="2">
        <v>100101000000</v>
      </c>
      <c r="M164" s="2">
        <v>40505000000</v>
      </c>
      <c r="N164" s="2">
        <v>15220000000</v>
      </c>
      <c r="O164" s="2">
        <v>29654000000</v>
      </c>
      <c r="P164" s="2">
        <v>4009000000</v>
      </c>
      <c r="Q164" s="2">
        <v>4269000000</v>
      </c>
      <c r="R164" s="2">
        <v>3754000000</v>
      </c>
      <c r="S164" s="2">
        <v>18111000000</v>
      </c>
      <c r="T164" s="2">
        <v>16018000000</v>
      </c>
      <c r="U164" s="2">
        <v>4528000000</v>
      </c>
      <c r="V164" s="2">
        <v>-121000000</v>
      </c>
      <c r="W164" s="2">
        <v>-20027000000</v>
      </c>
      <c r="X164" s="2">
        <v>-104414000000</v>
      </c>
      <c r="Y164" s="2">
        <v>85559000000</v>
      </c>
    </row>
    <row r="165">
      <c r="B165" t="str">
        <v>Kas Dan Setara Kas Awal Periode</v>
      </c>
      <c r="C165" s="2">
        <v>2755715000000</v>
      </c>
      <c r="H165" s="2">
        <v>3236012000000</v>
      </c>
      <c r="I165" s="2">
        <v>2089508000000</v>
      </c>
      <c r="J165" s="2">
        <v>1619616000000</v>
      </c>
      <c r="K165" s="2">
        <v>3896022000000</v>
      </c>
      <c r="L165" s="2">
        <v>978892000000</v>
      </c>
      <c r="M165" s="2">
        <v>383366000000</v>
      </c>
      <c r="N165" s="2">
        <v>49082000000</v>
      </c>
      <c r="O165" s="2">
        <v>262292000000</v>
      </c>
      <c r="P165" s="2">
        <v>531583000000</v>
      </c>
      <c r="Q165" s="2">
        <v>294441000000</v>
      </c>
      <c r="R165" s="2">
        <v>611181000000</v>
      </c>
      <c r="S165" s="2">
        <v>709090000000</v>
      </c>
      <c r="T165" s="2">
        <v>227769000000</v>
      </c>
      <c r="U165" s="2">
        <v>838190000000</v>
      </c>
      <c r="V165" s="2">
        <v>1240781000000</v>
      </c>
      <c r="W165" s="2">
        <v>788549000000</v>
      </c>
      <c r="X165" s="2">
        <v>867676000000</v>
      </c>
      <c r="Y165" s="2">
        <v>1012772000000</v>
      </c>
    </row>
    <row r="166">
      <c r="B166" t="str">
        <v>Kas Dan Setara Kas Akhir Period...</v>
      </c>
      <c r="C166" s="2">
        <v>4703854000000</v>
      </c>
      <c r="D166" s="2">
        <v>-2173227000000</v>
      </c>
      <c r="E166" s="2">
        <v>-1395742000000</v>
      </c>
      <c r="F166" s="2">
        <v>986385000000</v>
      </c>
      <c r="H166" s="2">
        <v>2755715000000</v>
      </c>
      <c r="I166" s="2">
        <v>3236012000000</v>
      </c>
      <c r="J166" s="2">
        <v>2089508000000</v>
      </c>
      <c r="K166" s="2">
        <v>1619616000000</v>
      </c>
      <c r="L166" s="2">
        <v>3896022000000</v>
      </c>
      <c r="M166" s="2">
        <v>978892000000</v>
      </c>
      <c r="N166" s="2">
        <v>383366000000</v>
      </c>
      <c r="O166" s="2">
        <v>49082000000</v>
      </c>
      <c r="P166" s="2">
        <v>262292000000</v>
      </c>
      <c r="Q166" s="2">
        <v>531583000000</v>
      </c>
      <c r="R166" s="2">
        <v>294441000000</v>
      </c>
      <c r="S166" s="2">
        <v>611181000000</v>
      </c>
      <c r="T166" s="2">
        <v>709090000000</v>
      </c>
      <c r="U166" s="2">
        <v>227769000000</v>
      </c>
      <c r="V166" s="2">
        <v>838190000000</v>
      </c>
      <c r="W166" s="2">
        <v>1240781000000</v>
      </c>
      <c r="X166" s="2">
        <v>788549000000</v>
      </c>
      <c r="Y166" s="2">
        <v>867676000000</v>
      </c>
    </row>
    <row r="168">
      <c r="A168" t="str">
        <v>Key Ratio</v>
      </c>
      <c r="B168" t="str">
        <v>Share Outstanding</v>
      </c>
      <c r="C168" t="str">
        <v>1.92 B</v>
      </c>
      <c r="D168" t="str">
        <v>1.92 B</v>
      </c>
      <c r="E168" t="str">
        <v>1.92 B</v>
      </c>
      <c r="F168" t="str">
        <v>1.92 B</v>
      </c>
      <c r="H168" t="str">
        <v>1.92 B</v>
      </c>
      <c r="I168" t="str">
        <v>1.92 B</v>
      </c>
      <c r="J168" t="str">
        <v>1.92 B</v>
      </c>
      <c r="K168" t="str">
        <v>1.92 B</v>
      </c>
      <c r="L168" t="str">
        <v>1.92 B</v>
      </c>
      <c r="M168" t="str">
        <v>1.92 B</v>
      </c>
      <c r="N168" t="str">
        <v>1.92 B</v>
      </c>
      <c r="O168" t="str">
        <v>1.92 B</v>
      </c>
      <c r="P168" t="str">
        <v>1.92 B</v>
      </c>
      <c r="Q168" t="str">
        <v>1.92 B</v>
      </c>
      <c r="R168" t="str">
        <v>1.57 B</v>
      </c>
      <c r="S168" t="str">
        <v>1.57 B</v>
      </c>
      <c r="T168" t="str">
        <v>1.57 B</v>
      </c>
      <c r="U168" t="str">
        <v>1.57 B</v>
      </c>
      <c r="V168" t="str">
        <v>1.57 B</v>
      </c>
      <c r="W168" t="str">
        <v>1.57 B</v>
      </c>
      <c r="X168" t="str">
        <v>1.57 B</v>
      </c>
      <c r="Y168" t="str">
        <v>1.57 B</v>
      </c>
    </row>
    <row r="169">
      <c r="B169" t="str">
        <v>EPS (Quarter)</v>
      </c>
      <c r="C169" t="str">
        <v>194.01</v>
      </c>
      <c r="D169" t="str">
        <v>208.66</v>
      </c>
      <c r="E169" t="str">
        <v>191.20</v>
      </c>
      <c r="F169" t="str">
        <v>220.86</v>
      </c>
    </row>
    <row r="170">
      <c r="B170" t="str">
        <v>PE Ratio (Quarter)</v>
      </c>
      <c r="C170" t="str">
        <v>38.92</v>
      </c>
      <c r="D170" t="str">
        <v>35.34</v>
      </c>
      <c r="E170" t="str">
        <v>42.76</v>
      </c>
      <c r="F170" t="str">
        <v>26.26</v>
      </c>
    </row>
    <row r="171">
      <c r="B171" t="str">
        <v>Price to Sales (Quarter)</v>
      </c>
      <c r="C171" t="str">
        <v>1.94</v>
      </c>
      <c r="D171" t="str">
        <v>2.17</v>
      </c>
      <c r="E171" t="str">
        <v>2.05</v>
      </c>
      <c r="F171" t="str">
        <v>1.50</v>
      </c>
    </row>
    <row r="172">
      <c r="B172" t="str">
        <v>EBITDA (Quarter)</v>
      </c>
      <c r="C172" t="str">
        <v>1,092.29 B</v>
      </c>
      <c r="D172" t="str">
        <v>1,180.67 B</v>
      </c>
      <c r="E172" t="str">
        <v>948.97 B</v>
      </c>
      <c r="F172" t="str">
        <v>923.73 B</v>
      </c>
    </row>
    <row r="173">
      <c r="B173" t="str">
        <v>Return on Assets (Quarter)</v>
      </c>
      <c r="C173" t="str">
        <v>1.34%</v>
      </c>
      <c r="D173" t="str">
        <v>1.48%</v>
      </c>
      <c r="E173" t="str">
        <v>1.32%</v>
      </c>
      <c r="F173" t="str">
        <v>1.39%</v>
      </c>
    </row>
    <row r="174">
      <c r="B174" t="str">
        <v>Return on Equity (Quarter)</v>
      </c>
      <c r="C174" t="str">
        <v>1.56%</v>
      </c>
      <c r="D174" t="str">
        <v>1.70%</v>
      </c>
      <c r="E174" t="str">
        <v>1.59%</v>
      </c>
      <c r="F174" t="str">
        <v>1.85%</v>
      </c>
    </row>
    <row r="175">
      <c r="B175" t="str">
        <v>Return on Capital Employed (Quarter)</v>
      </c>
      <c r="C175" t="str">
        <v>2.87%</v>
      </c>
      <c r="D175" t="str">
        <v>3.45%</v>
      </c>
      <c r="E175" t="str">
        <v>2.07%</v>
      </c>
      <c r="F175" t="str">
        <v>2.16%</v>
      </c>
    </row>
    <row r="176">
      <c r="B176" t="str">
        <v>Interest Coverage (Quarter)</v>
      </c>
      <c r="C176" t="str">
        <v>825.28</v>
      </c>
      <c r="D176" t="str">
        <v>2697.08</v>
      </c>
      <c r="E176" t="str">
        <v>12.51</v>
      </c>
      <c r="F176" t="str">
        <v>11.41</v>
      </c>
    </row>
    <row r="177">
      <c r="B177" t="str">
        <v>Total Equity (Quarter)</v>
      </c>
      <c r="C177" t="str">
        <v>24,534 B</v>
      </c>
      <c r="D177" t="str">
        <v>24,158 B</v>
      </c>
      <c r="E177" t="str">
        <v>23,698 B</v>
      </c>
      <c r="F177" t="str">
        <v>23,550 B</v>
      </c>
    </row>
    <row r="178">
      <c r="B178" t="str">
        <v>Price to Book Value (Quarter)</v>
      </c>
      <c r="C178" t="str">
        <v>0.61</v>
      </c>
      <c r="D178" t="str">
        <v>0.60</v>
      </c>
      <c r="E178" t="str">
        <v>0.68</v>
      </c>
      <c r="F178" t="str">
        <v>0.49</v>
      </c>
    </row>
    <row r="179">
      <c r="B179" t="str">
        <v>Book Value Per Share (Quarter)</v>
      </c>
      <c r="C179" t="str">
        <v>12426.62</v>
      </c>
      <c r="D179" t="str">
        <v>12238.94</v>
      </c>
      <c r="E179" t="str">
        <v>12012.93</v>
      </c>
      <c r="F179" t="str">
        <v>11944.74</v>
      </c>
    </row>
    <row r="180">
      <c r="B180" t="str">
        <v>Price to Tang. Book Value (Quarter)</v>
      </c>
      <c r="C180" t="str">
        <v>0.61</v>
      </c>
      <c r="D180" t="str">
        <v>0.60</v>
      </c>
      <c r="E180" t="str">
        <v>0.68</v>
      </c>
      <c r="F180" t="str">
        <v>0.49</v>
      </c>
    </row>
    <row r="181">
      <c r="B181" t="str">
        <v>Tang. Book Value Per Share (Quarter)</v>
      </c>
      <c r="C181" t="str">
        <v>12397.55</v>
      </c>
      <c r="D181" t="str">
        <v>12209.87</v>
      </c>
      <c r="E181" t="str">
        <v>11983.86</v>
      </c>
      <c r="F181" t="str">
        <v>11915.67</v>
      </c>
    </row>
    <row r="182">
      <c r="B182" t="str">
        <v>Short-term Debt (Quarter)</v>
      </c>
      <c r="E182" t="str">
        <v>90 B</v>
      </c>
      <c r="F182" t="str">
        <v>1,690 B</v>
      </c>
    </row>
    <row r="183">
      <c r="B183" t="str">
        <v>Long-term Debt (Quarter)</v>
      </c>
      <c r="F183" t="str">
        <v>1,500 B</v>
      </c>
    </row>
    <row r="184">
      <c r="B184" t="str">
        <v>Common Equity</v>
      </c>
      <c r="C184" t="str">
        <v>23,917 B</v>
      </c>
      <c r="D184" t="str">
        <v>23,556 B</v>
      </c>
      <c r="E184" t="str">
        <v>23,121 B</v>
      </c>
      <c r="F184" t="str">
        <v>22,990 B</v>
      </c>
    </row>
    <row r="185">
      <c r="B185" t="str">
        <v>Total Debt (Quarter)</v>
      </c>
      <c r="E185" t="str">
        <v>90 B</v>
      </c>
      <c r="F185" t="str">
        <v>3,190 B</v>
      </c>
    </row>
    <row r="186">
      <c r="B186" t="str">
        <v>Net Debt (Quarter)</v>
      </c>
      <c r="C186" t="str">
        <v>(4,704 B)</v>
      </c>
      <c r="D186" t="str">
        <v>(2,756 B)</v>
      </c>
      <c r="E186" t="str">
        <v>(4,839 B)</v>
      </c>
      <c r="F186" t="str">
        <v>(3,135 B)</v>
      </c>
    </row>
    <row r="187">
      <c r="B187" t="str">
        <v>Working Capital (Quarter)</v>
      </c>
      <c r="C187" t="str">
        <v>7,328 B</v>
      </c>
      <c r="D187" t="str">
        <v>6,662 B</v>
      </c>
      <c r="E187" t="str">
        <v>5,774 B</v>
      </c>
      <c r="F187" t="str">
        <v>6,857 B</v>
      </c>
    </row>
    <row r="188">
      <c r="B188" t="str">
        <v>Operating Cash Flow (Quarter)</v>
      </c>
      <c r="C188" t="str">
        <v>2,084 B</v>
      </c>
      <c r="D188" t="str">
        <v>(1,546 B)</v>
      </c>
      <c r="E188" t="str">
        <v>1,909 B</v>
      </c>
      <c r="F188" t="str">
        <v>1,532 B</v>
      </c>
    </row>
    <row r="189">
      <c r="B189" t="str">
        <v>Capital expenditure (Quarter)</v>
      </c>
      <c r="C189" t="str">
        <v>(138 B)</v>
      </c>
      <c r="D189" t="str">
        <v>(351 B)</v>
      </c>
      <c r="E189" t="str">
        <v>(181 B)</v>
      </c>
      <c r="F189" t="str">
        <v>(141 B)</v>
      </c>
    </row>
    <row r="190">
      <c r="B190" t="str">
        <v>Free cash flow (Quarter)</v>
      </c>
      <c r="C190" t="str">
        <v>1,946 B</v>
      </c>
      <c r="D190" t="str">
        <v>(1,896 B)</v>
      </c>
      <c r="E190" t="str">
        <v>1,727 B</v>
      </c>
      <c r="F190" t="str">
        <v>1,391 B</v>
      </c>
    </row>
    <row r="191">
      <c r="B191" t="str">
        <v>Free cash flow per share (Quarter)</v>
      </c>
      <c r="C191" t="str">
        <v>1011.13</v>
      </c>
      <c r="D191" t="str">
        <v>-985.32</v>
      </c>
      <c r="E191" t="str">
        <v>897.37</v>
      </c>
      <c r="F191" t="str">
        <v>722.81</v>
      </c>
    </row>
    <row r="192">
      <c r="B192" t="str">
        <v>EPS (Annual)</v>
      </c>
      <c r="H192" t="str">
        <v>764.65</v>
      </c>
      <c r="I192" t="str">
        <v>596.22</v>
      </c>
      <c r="J192" t="str">
        <v>548.61</v>
      </c>
      <c r="K192" t="str">
        <v>897.08</v>
      </c>
      <c r="L192" t="str">
        <v>1024.25</v>
      </c>
      <c r="M192" t="str">
        <v>432.84</v>
      </c>
      <c r="N192" t="str">
        <v>109.69</v>
      </c>
      <c r="O192" t="str">
        <v>747.40</v>
      </c>
      <c r="P192" t="str">
        <v>1044.50</v>
      </c>
      <c r="Q192" t="str">
        <v>1042.75</v>
      </c>
      <c r="R192" t="str">
        <v>393.15</v>
      </c>
      <c r="S192" t="str">
        <v>1589.91</v>
      </c>
      <c r="T192" t="str">
        <v>1143.93</v>
      </c>
      <c r="U192" t="str">
        <v>1530.57</v>
      </c>
      <c r="V192" t="str">
        <v>1527.59</v>
      </c>
      <c r="W192" t="str">
        <v>1335.87</v>
      </c>
      <c r="X192" t="str">
        <v>1098.37</v>
      </c>
      <c r="Y192" t="str">
        <v>1724.42</v>
      </c>
    </row>
    <row r="193">
      <c r="B193" t="str">
        <v>PE Ratio (Annual)</v>
      </c>
      <c r="H193" t="str">
        <v>9.64</v>
      </c>
      <c r="I193" t="str">
        <v>10.40</v>
      </c>
      <c r="J193" t="str">
        <v>12.81</v>
      </c>
      <c r="K193" t="str">
        <v>8.95</v>
      </c>
      <c r="L193" t="str">
        <v>9.28</v>
      </c>
      <c r="M193" t="str">
        <v>28.47</v>
      </c>
      <c r="N193" t="str">
        <v>132.87</v>
      </c>
      <c r="O193" t="str">
        <v>15.82</v>
      </c>
      <c r="P193" t="str">
        <v>12.59</v>
      </c>
      <c r="Q193" t="str">
        <v>16.09</v>
      </c>
      <c r="R193" t="str">
        <v>46.94</v>
      </c>
      <c r="S193" t="str">
        <v>17.76</v>
      </c>
      <c r="T193" t="str">
        <v>25.55</v>
      </c>
      <c r="U193" t="str">
        <v>14.99</v>
      </c>
      <c r="V193" t="str">
        <v>16.54</v>
      </c>
      <c r="W193" t="str">
        <v>22.84</v>
      </c>
      <c r="X193" t="str">
        <v>24.12</v>
      </c>
      <c r="Y193" t="str">
        <v>6.62</v>
      </c>
    </row>
    <row r="194">
      <c r="B194" t="str">
        <v>Price to Sales (Annual)</v>
      </c>
      <c r="H194" t="str">
        <v>0.50</v>
      </c>
      <c r="I194" t="str">
        <v>0.55</v>
      </c>
      <c r="J194" t="str">
        <v>0.65</v>
      </c>
      <c r="K194" t="str">
        <v>0.71</v>
      </c>
      <c r="L194" t="str">
        <v>0.75</v>
      </c>
      <c r="M194" t="str">
        <v>1.26</v>
      </c>
      <c r="N194" t="str">
        <v>1.61</v>
      </c>
      <c r="O194" t="str">
        <v>1.19</v>
      </c>
      <c r="P194" t="str">
        <v>1.46</v>
      </c>
      <c r="Q194" t="str">
        <v>2.29</v>
      </c>
      <c r="R194" t="str">
        <v>2.23</v>
      </c>
      <c r="S194" t="str">
        <v>2.73</v>
      </c>
      <c r="T194" t="str">
        <v>3.63</v>
      </c>
      <c r="U194" t="str">
        <v>3.12</v>
      </c>
      <c r="V194" t="str">
        <v>3.69</v>
      </c>
      <c r="W194" t="str">
        <v>5.43</v>
      </c>
      <c r="X194" t="str">
        <v>5.62</v>
      </c>
      <c r="Y194" t="str">
        <v>2.20</v>
      </c>
    </row>
    <row r="195">
      <c r="B195" t="str">
        <v>EBITDA (Annual)</v>
      </c>
      <c r="H195" t="str">
        <v>3,911.35 B</v>
      </c>
      <c r="I195" t="str">
        <v>3,094.66 B</v>
      </c>
      <c r="J195" t="str">
        <v>2,614.63 B</v>
      </c>
      <c r="K195" t="str">
        <v>3,656.89 B</v>
      </c>
      <c r="L195" t="str">
        <v>4,712.12 B</v>
      </c>
      <c r="M195" t="str">
        <v>3,179.06 B</v>
      </c>
      <c r="N195" t="str">
        <v>2,264.01 B</v>
      </c>
      <c r="O195" t="str">
        <v>3,586.08 B</v>
      </c>
    </row>
    <row r="196">
      <c r="B196" t="str">
        <v>Return on Assets (Annual)</v>
      </c>
      <c r="H196" t="str">
        <v>5.44%</v>
      </c>
      <c r="I196" t="str">
        <v>3.99%</v>
      </c>
      <c r="J196" t="str">
        <v>3.66%</v>
      </c>
      <c r="K196" t="str">
        <v>5.90%</v>
      </c>
      <c r="L196" t="str">
        <v>6.48%</v>
      </c>
      <c r="M196" t="str">
        <v>3.00%</v>
      </c>
      <c r="N196" t="str">
        <v>0.78%</v>
      </c>
      <c r="O196" t="str">
        <v>5.36%</v>
      </c>
      <c r="P196" t="str">
        <v>8.06%</v>
      </c>
      <c r="Q196" t="str">
        <v>8.28%</v>
      </c>
      <c r="R196" t="str">
        <v>2.88%</v>
      </c>
      <c r="S196" t="str">
        <v>13.49%</v>
      </c>
      <c r="T196" t="str">
        <v>12.04%</v>
      </c>
      <c r="U196" t="str">
        <v>19.41%</v>
      </c>
      <c r="V196" t="str">
        <v>23.57%</v>
      </c>
      <c r="W196" t="str">
        <v>23.93%</v>
      </c>
      <c r="X196" t="str">
        <v>22.84%</v>
      </c>
      <c r="Y196" t="str">
        <v>41.65%</v>
      </c>
    </row>
    <row r="197">
      <c r="B197" t="str">
        <v>Return on Equity (Annual)</v>
      </c>
      <c r="H197" t="str">
        <v>6.25%</v>
      </c>
      <c r="I197" t="str">
        <v>5.07%</v>
      </c>
      <c r="J197" t="str">
        <v>4.80%</v>
      </c>
      <c r="K197" t="str">
        <v>7.96%</v>
      </c>
      <c r="L197" t="str">
        <v>9.56%</v>
      </c>
      <c r="M197" t="str">
        <v>4.44%</v>
      </c>
      <c r="N197" t="str">
        <v>1.14%</v>
      </c>
      <c r="O197" t="str">
        <v>7.58%</v>
      </c>
      <c r="P197" t="str">
        <v>11.13%</v>
      </c>
      <c r="Q197" t="str">
        <v>11.71%</v>
      </c>
      <c r="R197" t="str">
        <v>5.49%</v>
      </c>
      <c r="S197" t="str">
        <v>21.92%</v>
      </c>
      <c r="T197" t="str">
        <v>18.21%</v>
      </c>
      <c r="U197" t="str">
        <v>26.69%</v>
      </c>
      <c r="V197" t="str">
        <v>29.55%</v>
      </c>
      <c r="W197" t="str">
        <v>29.17%</v>
      </c>
      <c r="X197" t="str">
        <v>27.78%</v>
      </c>
      <c r="Y197" t="str">
        <v>52.66%</v>
      </c>
    </row>
    <row r="198">
      <c r="B198" t="str">
        <v>Return on Capital Employed (Annual)</v>
      </c>
      <c r="H198" t="str">
        <v>9.55%</v>
      </c>
      <c r="I198" t="str">
        <v>6.57%</v>
      </c>
      <c r="J198" t="str">
        <v>4.80%</v>
      </c>
      <c r="K198" t="str">
        <v>9.14%</v>
      </c>
      <c r="L198" t="str">
        <v>13.60%</v>
      </c>
      <c r="M198" t="str">
        <v>7.17%</v>
      </c>
      <c r="N198" t="str">
        <v>3.90%</v>
      </c>
      <c r="O198" t="str">
        <v>10.02%</v>
      </c>
      <c r="P198" t="str">
        <v>14.22%</v>
      </c>
      <c r="Q198" t="str">
        <v>13.89%</v>
      </c>
      <c r="R198" t="str">
        <v>11.43%</v>
      </c>
      <c r="S198" t="str">
        <v>29.02%</v>
      </c>
      <c r="T198" t="str">
        <v>28.58%</v>
      </c>
      <c r="U198" t="str">
        <v>37.17%</v>
      </c>
      <c r="V198" t="str">
        <v>38.75%</v>
      </c>
      <c r="W198" t="str">
        <v>41.76%</v>
      </c>
      <c r="X198" t="str">
        <v>43.02%</v>
      </c>
      <c r="Y198" t="str">
        <v>122.73%</v>
      </c>
    </row>
    <row r="199">
      <c r="B199" t="str">
        <v>Interest Coverage (Annual)</v>
      </c>
      <c r="H199" t="str">
        <v>17.36</v>
      </c>
      <c r="I199" t="str">
        <v>6.27</v>
      </c>
      <c r="J199" t="str">
        <v>4.66</v>
      </c>
      <c r="K199" t="str">
        <v>6.44</v>
      </c>
      <c r="L199" t="str">
        <v>8.69</v>
      </c>
      <c r="M199" t="str">
        <v>4.40</v>
      </c>
      <c r="N199" t="str">
        <v>2.74</v>
      </c>
      <c r="O199" t="str">
        <v>10.33</v>
      </c>
      <c r="P199" t="str">
        <v>23.04</v>
      </c>
      <c r="Q199" t="str">
        <v>18.35</v>
      </c>
      <c r="R199" t="str">
        <v>14.77</v>
      </c>
      <c r="S199" t="str">
        <v>38.74</v>
      </c>
      <c r="T199" t="str">
        <v>6.77</v>
      </c>
      <c r="U199" t="str">
        <v>118.29</v>
      </c>
      <c r="V199" t="str">
        <v>550.41</v>
      </c>
      <c r="W199" t="str">
        <v>363.13</v>
      </c>
      <c r="X199" t="str">
        <v>85.25</v>
      </c>
      <c r="Y199" t="str">
        <v>18867.84</v>
      </c>
    </row>
    <row r="200">
      <c r="B200" t="str">
        <v>Price to Book Value (Annual)</v>
      </c>
      <c r="H200" t="str">
        <v>0.60</v>
      </c>
      <c r="I200" t="str">
        <v>0.53</v>
      </c>
      <c r="J200" t="str">
        <v>0.61</v>
      </c>
      <c r="K200" t="str">
        <v>0.71</v>
      </c>
      <c r="L200" t="str">
        <v>0.89</v>
      </c>
      <c r="M200" t="str">
        <v>1.26</v>
      </c>
      <c r="N200" t="str">
        <v>1.51</v>
      </c>
      <c r="O200" t="str">
        <v>1.20</v>
      </c>
      <c r="P200" t="str">
        <v>1.40</v>
      </c>
      <c r="Q200" t="str">
        <v>1.88</v>
      </c>
      <c r="R200" t="str">
        <v>2.58</v>
      </c>
      <c r="S200" t="str">
        <v>3.89</v>
      </c>
      <c r="T200" t="str">
        <v>4.65</v>
      </c>
      <c r="U200" t="str">
        <v>4.00</v>
      </c>
      <c r="V200" t="str">
        <v>4.89</v>
      </c>
      <c r="W200" t="str">
        <v>6.66</v>
      </c>
      <c r="X200" t="str">
        <v>6.70</v>
      </c>
      <c r="Y200" t="str">
        <v>3.48</v>
      </c>
    </row>
    <row r="201">
      <c r="B201" t="str">
        <v>Book Value Per Share (Annual)</v>
      </c>
      <c r="H201" t="str">
        <v>12238.94</v>
      </c>
      <c r="I201" t="str">
        <v>11763.94</v>
      </c>
      <c r="J201" t="str">
        <v>11438.76</v>
      </c>
      <c r="K201" t="str">
        <v>11266.26</v>
      </c>
      <c r="L201" t="str">
        <v>10713.00</v>
      </c>
      <c r="M201" t="str">
        <v>9743.13</v>
      </c>
      <c r="N201" t="str">
        <v>9622.94</v>
      </c>
      <c r="O201" t="str">
        <v>9866.34</v>
      </c>
      <c r="P201" t="str">
        <v>9386.43</v>
      </c>
      <c r="Q201" t="str">
        <v>8902.89</v>
      </c>
      <c r="R201" t="str">
        <v>7166.12</v>
      </c>
      <c r="S201" t="str">
        <v>7251.59</v>
      </c>
      <c r="T201" t="str">
        <v>6283.30</v>
      </c>
      <c r="U201" t="str">
        <v>5733.74</v>
      </c>
      <c r="V201" t="str">
        <v>5168.85</v>
      </c>
      <c r="W201" t="str">
        <v>4579.59</v>
      </c>
      <c r="X201" t="str">
        <v>3953.89</v>
      </c>
      <c r="Y201" t="str">
        <v>3274.34</v>
      </c>
    </row>
    <row r="202">
      <c r="B202" t="str">
        <v>Price to Tang. Book Value (Annual)</v>
      </c>
      <c r="H202" t="str">
        <v>0.60</v>
      </c>
      <c r="I202" t="str">
        <v>0.53</v>
      </c>
      <c r="J202" t="str">
        <v>0.62</v>
      </c>
      <c r="K202" t="str">
        <v>0.71</v>
      </c>
      <c r="L202" t="str">
        <v>0.89</v>
      </c>
      <c r="M202" t="str">
        <v>1.27</v>
      </c>
      <c r="N202" t="str">
        <v>1.52</v>
      </c>
      <c r="O202" t="str">
        <v>1.20</v>
      </c>
      <c r="P202" t="str">
        <v>1.41</v>
      </c>
      <c r="Q202" t="str">
        <v>1.89</v>
      </c>
      <c r="R202" t="str">
        <v>2.59</v>
      </c>
      <c r="S202" t="str">
        <v>3.91</v>
      </c>
      <c r="T202" t="str">
        <v>4.68</v>
      </c>
      <c r="U202" t="str">
        <v>4.03</v>
      </c>
      <c r="V202" t="str">
        <v>4.92</v>
      </c>
      <c r="W202" t="str">
        <v>6.71</v>
      </c>
      <c r="X202" t="str">
        <v>6.77</v>
      </c>
      <c r="Y202" t="str">
        <v>3.54</v>
      </c>
    </row>
    <row r="203">
      <c r="B203" t="str">
        <v>Tang. Book Value Per Share (Annual)</v>
      </c>
      <c r="H203" t="str">
        <v>12209.87</v>
      </c>
      <c r="I203" t="str">
        <v>11734.87</v>
      </c>
      <c r="J203" t="str">
        <v>11409.69</v>
      </c>
      <c r="K203" t="str">
        <v>11237.19</v>
      </c>
      <c r="L203" t="str">
        <v>10683.93</v>
      </c>
      <c r="M203" t="str">
        <v>9714.06</v>
      </c>
      <c r="N203" t="str">
        <v>9593.87</v>
      </c>
      <c r="O203" t="str">
        <v>9837.27</v>
      </c>
      <c r="P203" t="str">
        <v>9357.36</v>
      </c>
      <c r="Q203" t="str">
        <v>8873.82</v>
      </c>
      <c r="R203" t="str">
        <v>7130.59</v>
      </c>
      <c r="S203" t="str">
        <v>7216.06</v>
      </c>
      <c r="T203" t="str">
        <v>6247.77</v>
      </c>
      <c r="U203" t="str">
        <v>5698.21</v>
      </c>
      <c r="V203" t="str">
        <v>5133.32</v>
      </c>
      <c r="W203" t="str">
        <v>4545.73</v>
      </c>
      <c r="X203" t="str">
        <v>3914.80</v>
      </c>
      <c r="Y203" t="str">
        <v>3227.37</v>
      </c>
    </row>
    <row r="204">
      <c r="B204" t="str">
        <v>Short-term Debt (Annual)</v>
      </c>
      <c r="I204" t="str">
        <v>1,690 B</v>
      </c>
      <c r="J204" t="str">
        <v>2,315 B</v>
      </c>
      <c r="K204" t="str">
        <v>5 B</v>
      </c>
      <c r="L204" t="str">
        <v>3,564 B</v>
      </c>
      <c r="N204" t="str">
        <v>150 B</v>
      </c>
      <c r="O204" t="str">
        <v>1,125 B</v>
      </c>
      <c r="P204" t="str">
        <v>600 B</v>
      </c>
      <c r="Q204" t="str">
        <v>1,985 B</v>
      </c>
      <c r="R204" t="str">
        <v>2,025 B</v>
      </c>
      <c r="S204" t="str">
        <v>2,299 B</v>
      </c>
      <c r="T204" t="str">
        <v>2,152 B</v>
      </c>
      <c r="U204" t="str">
        <v>972 B</v>
      </c>
    </row>
    <row r="205">
      <c r="B205" t="str">
        <v>Long-term Debt (Annual)</v>
      </c>
      <c r="I205" t="str">
        <v>1,500 B</v>
      </c>
      <c r="J205" t="str">
        <v>1,690 B</v>
      </c>
      <c r="K205" t="str">
        <v>4,049 B</v>
      </c>
      <c r="L205" t="str">
        <v>2,132 B</v>
      </c>
      <c r="M205" t="str">
        <v>5,624 B</v>
      </c>
      <c r="N205" t="str">
        <v>5,535 B</v>
      </c>
      <c r="O205" t="str">
        <v>3,606 B</v>
      </c>
      <c r="P205" t="str">
        <v>3,369 B</v>
      </c>
      <c r="Q205" t="str">
        <v>2,116 B</v>
      </c>
      <c r="R205" t="str">
        <v>5,708 B</v>
      </c>
      <c r="S205" t="str">
        <v>2,128 B</v>
      </c>
      <c r="T205" t="str">
        <v>571 B</v>
      </c>
    </row>
    <row r="206">
      <c r="B206" t="str">
        <v>Total Debt (Annual)</v>
      </c>
      <c r="I206" t="str">
        <v>3,190 B</v>
      </c>
      <c r="J206" t="str">
        <v>4,005 B</v>
      </c>
      <c r="K206" t="str">
        <v>4,054 B</v>
      </c>
      <c r="L206" t="str">
        <v>5,696 B</v>
      </c>
      <c r="M206" t="str">
        <v>5,624 B</v>
      </c>
      <c r="N206" t="str">
        <v>5,685 B</v>
      </c>
      <c r="O206" t="str">
        <v>4,731 B</v>
      </c>
      <c r="P206" t="str">
        <v>3,969 B</v>
      </c>
      <c r="Q206" t="str">
        <v>4,101 B</v>
      </c>
      <c r="R206" t="str">
        <v>7,733 B</v>
      </c>
      <c r="S206" t="str">
        <v>4,427 B</v>
      </c>
      <c r="T206" t="str">
        <v>2,723 B</v>
      </c>
      <c r="U206" t="str">
        <v>972 B</v>
      </c>
    </row>
    <row r="207">
      <c r="B207" t="str">
        <v>Net Debt (Annual)</v>
      </c>
      <c r="H207" t="str">
        <v>(2,756 B)</v>
      </c>
      <c r="I207" t="str">
        <v>(46 B)</v>
      </c>
      <c r="J207" t="str">
        <v>1,916 B</v>
      </c>
      <c r="K207" t="str">
        <v>2,434 B</v>
      </c>
      <c r="L207" t="str">
        <v>1,800 B</v>
      </c>
      <c r="M207" t="str">
        <v>4,645 B</v>
      </c>
      <c r="N207" t="str">
        <v>5,302 B</v>
      </c>
      <c r="O207" t="str">
        <v>4,682 B</v>
      </c>
      <c r="P207" t="str">
        <v>3,707 B</v>
      </c>
      <c r="Q207" t="str">
        <v>3,569 B</v>
      </c>
      <c r="R207" t="str">
        <v>7,438 B</v>
      </c>
      <c r="S207" t="str">
        <v>3,816 B</v>
      </c>
      <c r="T207" t="str">
        <v>2,014 B</v>
      </c>
      <c r="U207" t="str">
        <v>744 B</v>
      </c>
      <c r="V207" t="str">
        <v>(838 B)</v>
      </c>
      <c r="W207" t="str">
        <v>(1,241 B)</v>
      </c>
      <c r="X207" t="str">
        <v>(789 B)</v>
      </c>
      <c r="Y207" t="str">
        <v>(868 B)</v>
      </c>
    </row>
    <row r="208">
      <c r="B208" t="str">
        <v>Working capital (Annual)</v>
      </c>
      <c r="H208" t="str">
        <v>6,662 B</v>
      </c>
      <c r="I208" t="str">
        <v>5,196 B</v>
      </c>
      <c r="J208" t="str">
        <v>3,236 B</v>
      </c>
      <c r="K208" t="str">
        <v>5,338 B</v>
      </c>
      <c r="L208" t="str">
        <v>3,454 B</v>
      </c>
      <c r="M208" t="str">
        <v>4,145 B</v>
      </c>
      <c r="N208" t="str">
        <v>2,905 B</v>
      </c>
      <c r="O208" t="str">
        <v>1,424 B</v>
      </c>
      <c r="P208" t="str">
        <v>1,936 B</v>
      </c>
      <c r="Q208" t="str">
        <v>109 B</v>
      </c>
      <c r="R208" t="str">
        <v>(708 B)</v>
      </c>
      <c r="S208" t="str">
        <v>(1,707 B)</v>
      </c>
      <c r="T208" t="str">
        <v>(2,068 B)</v>
      </c>
      <c r="U208" t="str">
        <v>(820 B)</v>
      </c>
      <c r="V208" t="str">
        <v>446 B</v>
      </c>
      <c r="W208" t="str">
        <v>989 B</v>
      </c>
      <c r="X208" t="str">
        <v>775 B</v>
      </c>
      <c r="Y208" t="str">
        <v>959 B</v>
      </c>
    </row>
    <row r="209">
      <c r="B209" t="str">
        <v>Operating Cash Flow (Annual)</v>
      </c>
      <c r="H209" t="str">
        <v>4,211 B</v>
      </c>
      <c r="I209" t="str">
        <v>3,379 B</v>
      </c>
      <c r="J209" t="str">
        <v>2,539 B</v>
      </c>
      <c r="K209" t="str">
        <v>1,835 B</v>
      </c>
      <c r="L209" t="str">
        <v>4,895 B</v>
      </c>
      <c r="M209" t="str">
        <v>2,322 B</v>
      </c>
      <c r="N209" t="str">
        <v>1,292 B</v>
      </c>
      <c r="O209" t="str">
        <v>2,045 B</v>
      </c>
      <c r="P209" t="str">
        <v>2,842 B</v>
      </c>
      <c r="Q209" t="str">
        <v>2,512 B</v>
      </c>
      <c r="R209" t="str">
        <v>1,028 B</v>
      </c>
      <c r="S209" t="str">
        <v>3,022 B</v>
      </c>
      <c r="T209" t="str">
        <v>3,157 B</v>
      </c>
      <c r="U209" t="str">
        <v>2,610 B</v>
      </c>
      <c r="V209" t="str">
        <v>3,162 B</v>
      </c>
      <c r="W209" t="str">
        <v>2,947 B</v>
      </c>
      <c r="X209" t="str">
        <v>1,985 B</v>
      </c>
      <c r="Y209" t="str">
        <v>2,087 B</v>
      </c>
    </row>
    <row r="210">
      <c r="B210" t="str">
        <v>Capital expenditure (Annual)</v>
      </c>
      <c r="H210" t="str">
        <v>(782 B)</v>
      </c>
      <c r="I210" t="str">
        <v>(941 B)</v>
      </c>
      <c r="J210" t="str">
        <v>(1,236 B)</v>
      </c>
      <c r="K210" t="str">
        <v>(1,379 B)</v>
      </c>
      <c r="L210" t="str">
        <v>(1,229 B)</v>
      </c>
      <c r="M210" t="str">
        <v>(971 B)</v>
      </c>
      <c r="N210" t="str">
        <v>(1,272 B)</v>
      </c>
      <c r="O210" t="str">
        <v>(1,577 B)</v>
      </c>
      <c r="P210" t="str">
        <v>(1,663 B)</v>
      </c>
      <c r="Q210" t="str">
        <v>(2,350 B)</v>
      </c>
      <c r="R210" t="str">
        <v>(3,044 B)</v>
      </c>
      <c r="S210" t="str">
        <v>(3,278 B)</v>
      </c>
      <c r="T210" t="str">
        <v>(2,861 B)</v>
      </c>
      <c r="U210" t="str">
        <v>(2,631 B)</v>
      </c>
      <c r="V210" t="str">
        <v>(2,033 B)</v>
      </c>
      <c r="W210" t="str">
        <v>(1,536 B)</v>
      </c>
      <c r="X210" t="str">
        <v>(1,284 B)</v>
      </c>
      <c r="Y210" t="str">
        <v>(1,279 B)</v>
      </c>
    </row>
    <row r="211">
      <c r="B211" t="str">
        <v>Free cash flow (Annual)</v>
      </c>
      <c r="H211" t="str">
        <v>3,429 B</v>
      </c>
      <c r="I211" t="str">
        <v>2,439 B</v>
      </c>
      <c r="J211" t="str">
        <v>1,302 B</v>
      </c>
      <c r="K211" t="str">
        <v>456 B</v>
      </c>
      <c r="L211" t="str">
        <v>3,666 B</v>
      </c>
      <c r="M211" t="str">
        <v>1,352 B</v>
      </c>
      <c r="N211" t="str">
        <v>20 B</v>
      </c>
      <c r="O211" t="str">
        <v>468 B</v>
      </c>
      <c r="P211" t="str">
        <v>1,179 B</v>
      </c>
      <c r="Q211" t="str">
        <v>162 B</v>
      </c>
      <c r="R211" t="str">
        <v>(2,017 B)</v>
      </c>
      <c r="S211" t="str">
        <v>(256 B)</v>
      </c>
      <c r="T211" t="str">
        <v>295 B</v>
      </c>
      <c r="U211" t="str">
        <v>(21 B)</v>
      </c>
      <c r="V211" t="str">
        <v>1,130 B</v>
      </c>
      <c r="W211" t="str">
        <v>1,411 B</v>
      </c>
      <c r="X211" t="str">
        <v>701 B</v>
      </c>
      <c r="Y211" t="str">
        <v>808 B</v>
      </c>
    </row>
    <row r="212">
      <c r="B212" t="str">
        <v>Free cash flow per share (Annual)</v>
      </c>
      <c r="H212" t="str">
        <v>1781.38</v>
      </c>
      <c r="I212" t="str">
        <v>1267.01</v>
      </c>
      <c r="J212" t="str">
        <v>676.68</v>
      </c>
      <c r="K212" t="str">
        <v>236.90</v>
      </c>
      <c r="L212" t="str">
        <v>1904.54</v>
      </c>
      <c r="M212" t="str">
        <v>702.27</v>
      </c>
      <c r="N212" t="str">
        <v>10.64</v>
      </c>
      <c r="O212" t="str">
        <v>243.34</v>
      </c>
      <c r="P212" t="str">
        <v>612.64</v>
      </c>
      <c r="Q212" t="str">
        <v>84.12</v>
      </c>
      <c r="R212" t="str">
        <v>-1280.65</v>
      </c>
      <c r="S212" t="str">
        <v>-162.70</v>
      </c>
      <c r="T212" t="str">
        <v>187.38</v>
      </c>
      <c r="U212" t="str">
        <v>-13.36</v>
      </c>
      <c r="V212" t="str">
        <v>717.50</v>
      </c>
      <c r="W212" t="str">
        <v>895.73</v>
      </c>
      <c r="X212" t="str">
        <v>445.09</v>
      </c>
      <c r="Y212" t="str">
        <v>513.11</v>
      </c>
    </row>
    <row r="214">
      <c r="A214" t="str">
        <v>Key Stats</v>
      </c>
      <c r="B214" t="str">
        <v>Net Income</v>
      </c>
      <c r="C214" t="str">
        <v>373 B</v>
      </c>
      <c r="D214" t="str">
        <v>402 B</v>
      </c>
      <c r="E214" t="str">
        <v>368 B</v>
      </c>
      <c r="F214" t="str">
        <v>425 B</v>
      </c>
      <c r="G214" t="str">
        <v>1,494 B</v>
      </c>
      <c r="H214" t="str">
        <v>1,472 B</v>
      </c>
      <c r="I214" t="str">
        <v>1,148 B</v>
      </c>
      <c r="J214" t="str">
        <v>1,056 B</v>
      </c>
      <c r="K214" t="str">
        <v>1,727 B</v>
      </c>
      <c r="L214" t="str">
        <v>1,971 B</v>
      </c>
      <c r="M214" t="str">
        <v>833 B</v>
      </c>
      <c r="N214" t="str">
        <v>211 B</v>
      </c>
      <c r="O214" t="str">
        <v>1,439 B</v>
      </c>
      <c r="P214" t="str">
        <v>2,010 B</v>
      </c>
    </row>
    <row r="215">
      <c r="B215" t="str">
        <v>Net Income - TTM (Q1)</v>
      </c>
      <c r="G215" t="str">
        <v>1,568 B</v>
      </c>
      <c r="H215" t="str">
        <v>1,472 B</v>
      </c>
      <c r="I215" t="str">
        <v>1,148 B</v>
      </c>
      <c r="J215" t="str">
        <v>1,056 B</v>
      </c>
      <c r="K215" t="str">
        <v>1,727 B</v>
      </c>
      <c r="L215" t="str">
        <v>1,971 B</v>
      </c>
      <c r="M215" t="str">
        <v>833 B</v>
      </c>
      <c r="N215" t="str">
        <v>211 B</v>
      </c>
      <c r="O215" t="str">
        <v>1,439 B</v>
      </c>
      <c r="P215" t="str">
        <v>2,010 B</v>
      </c>
    </row>
    <row r="216">
      <c r="B216" t="str">
        <v>Net Income - Div (TTM)</v>
      </c>
      <c r="G216" t="str">
        <v>458.00</v>
      </c>
      <c r="H216" t="str">
        <v>458.00</v>
      </c>
      <c r="I216" t="str">
        <v>268.00</v>
      </c>
      <c r="J216" t="str">
        <v>247.00</v>
      </c>
      <c r="K216" t="str">
        <v>404.00</v>
      </c>
      <c r="L216" t="str">
        <v>461.00</v>
      </c>
      <c r="M216" t="str">
        <v>195.00</v>
      </c>
      <c r="N216" t="str">
        <v>49.00</v>
      </c>
      <c r="O216" t="str">
        <v>336.00</v>
      </c>
      <c r="P216" t="str">
        <v>470.00</v>
      </c>
    </row>
    <row r="217">
      <c r="B217" t="str">
        <v>Net Income - Payout Ratio</v>
      </c>
      <c r="G217" t="str">
        <v>59.02%</v>
      </c>
      <c r="H217" t="str">
        <v>59.90%</v>
      </c>
      <c r="I217" t="str">
        <v>44.95%</v>
      </c>
      <c r="J217" t="str">
        <v>45.02%</v>
      </c>
      <c r="K217" t="str">
        <v>45.03%</v>
      </c>
      <c r="L217" t="str">
        <v>45.01%</v>
      </c>
      <c r="M217" t="str">
        <v>45.05%</v>
      </c>
      <c r="N217" t="str">
        <v>44.67%</v>
      </c>
      <c r="O217" t="str">
        <v>44.96%</v>
      </c>
      <c r="P217" t="str">
        <v>45.00%</v>
      </c>
    </row>
    <row r="218">
      <c r="B218" t="str">
        <v>Net Income - Div Yield</v>
      </c>
      <c r="G218" t="str">
        <v>7.42%</v>
      </c>
      <c r="H218" t="str">
        <v>5.52%</v>
      </c>
      <c r="I218" t="str">
        <v>4.45%</v>
      </c>
      <c r="J218" t="str">
        <v>3.84%</v>
      </c>
      <c r="K218" t="str">
        <v>4.93%</v>
      </c>
      <c r="L218" t="str">
        <v>3.51%</v>
      </c>
      <c r="M218" t="str">
        <v>2.06%</v>
      </c>
      <c r="N218" t="str">
        <v>0.57%</v>
      </c>
      <c r="O218" t="str">
        <v>3.00%</v>
      </c>
      <c r="P218" t="str">
        <v>3.42%</v>
      </c>
    </row>
    <row r="219">
      <c r="B219" t="str">
        <v>EPS</v>
      </c>
      <c r="C219" t="str">
        <v>194.01</v>
      </c>
      <c r="D219" t="str">
        <v>208.66</v>
      </c>
      <c r="E219" t="str">
        <v>191.20</v>
      </c>
      <c r="F219" t="str">
        <v>220.86</v>
      </c>
      <c r="G219" t="str">
        <v>776.04</v>
      </c>
      <c r="H219" t="str">
        <v>764.65</v>
      </c>
      <c r="I219" t="str">
        <v>596.22</v>
      </c>
      <c r="J219" t="str">
        <v>548.61</v>
      </c>
      <c r="K219" t="str">
        <v>897.08</v>
      </c>
      <c r="L219" t="str">
        <v>1,024.25</v>
      </c>
      <c r="M219" t="str">
        <v>432.84</v>
      </c>
      <c r="N219" t="str">
        <v>109.69</v>
      </c>
      <c r="O219" t="str">
        <v>747.40</v>
      </c>
      <c r="P219" t="str">
        <v>1,044.50</v>
      </c>
    </row>
    <row r="220">
      <c r="B220" t="str">
        <v>EPS - TTM (Q1)</v>
      </c>
      <c r="G220" t="str">
        <v>814.72</v>
      </c>
      <c r="H220" t="str">
        <v>764.65</v>
      </c>
      <c r="I220" t="str">
        <v>596.22</v>
      </c>
      <c r="J220" t="str">
        <v>548.61</v>
      </c>
      <c r="K220" t="str">
        <v>897.08</v>
      </c>
      <c r="L220" t="str">
        <v>1,024.25</v>
      </c>
      <c r="M220" t="str">
        <v>432.84</v>
      </c>
      <c r="N220" t="str">
        <v>109.69</v>
      </c>
      <c r="O220" t="str">
        <v>747.40</v>
      </c>
      <c r="P220" t="str">
        <v>1,044.50</v>
      </c>
    </row>
    <row r="221">
      <c r="B221" t="str">
        <v>EPS - Div (TTM)</v>
      </c>
      <c r="G221" t="str">
        <v>458.00</v>
      </c>
      <c r="H221" t="str">
        <v>458.00</v>
      </c>
      <c r="I221" t="str">
        <v>268.00</v>
      </c>
      <c r="J221" t="str">
        <v>247.00</v>
      </c>
      <c r="K221" t="str">
        <v>404.00</v>
      </c>
      <c r="L221" t="str">
        <v>461.00</v>
      </c>
      <c r="M221" t="str">
        <v>195.00</v>
      </c>
      <c r="N221" t="str">
        <v>49.00</v>
      </c>
      <c r="O221" t="str">
        <v>336.00</v>
      </c>
      <c r="P221" t="str">
        <v>470.00</v>
      </c>
    </row>
    <row r="222">
      <c r="B222" t="str">
        <v>EPS - Payout Ratio</v>
      </c>
      <c r="G222" t="str">
        <v>59.02%</v>
      </c>
      <c r="H222" t="str">
        <v>59.90%</v>
      </c>
      <c r="I222" t="str">
        <v>44.95%</v>
      </c>
      <c r="J222" t="str">
        <v>45.02%</v>
      </c>
      <c r="K222" t="str">
        <v>45.03%</v>
      </c>
      <c r="L222" t="str">
        <v>45.01%</v>
      </c>
      <c r="M222" t="str">
        <v>45.05%</v>
      </c>
      <c r="N222" t="str">
        <v>44.67%</v>
      </c>
      <c r="O222" t="str">
        <v>44.96%</v>
      </c>
      <c r="P222" t="str">
        <v>45.00%</v>
      </c>
    </row>
    <row r="223">
      <c r="B223" t="str">
        <v>EPS - Div Yield</v>
      </c>
      <c r="G223" t="str">
        <v>7.42%</v>
      </c>
      <c r="H223" t="str">
        <v>5.52%</v>
      </c>
      <c r="I223" t="str">
        <v>4.45%</v>
      </c>
      <c r="J223" t="str">
        <v>3.84%</v>
      </c>
      <c r="K223" t="str">
        <v>4.93%</v>
      </c>
      <c r="L223" t="str">
        <v>3.51%</v>
      </c>
      <c r="M223" t="str">
        <v>2.06%</v>
      </c>
      <c r="N223" t="str">
        <v>0.57%</v>
      </c>
      <c r="O223" t="str">
        <v>3.00%</v>
      </c>
      <c r="P223" t="str">
        <v>3.42%</v>
      </c>
    </row>
    <row r="224">
      <c r="B224" t="str">
        <v>Revenue</v>
      </c>
      <c r="C224" t="str">
        <v>7,502 B</v>
      </c>
      <c r="D224" t="str">
        <v>6,536 B</v>
      </c>
      <c r="E224" t="str">
        <v>7,672 B</v>
      </c>
      <c r="F224" t="str">
        <v>7,423 B</v>
      </c>
      <c r="G224" t="str">
        <v>30,007 B</v>
      </c>
      <c r="H224" t="str">
        <v>28,655 B</v>
      </c>
      <c r="I224" t="str">
        <v>21,815 B</v>
      </c>
      <c r="J224" t="str">
        <v>20,745 B</v>
      </c>
      <c r="K224" t="str">
        <v>21,829 B</v>
      </c>
      <c r="L224" t="str">
        <v>24,322 B</v>
      </c>
      <c r="M224" t="str">
        <v>18,807 B</v>
      </c>
      <c r="N224" t="str">
        <v>17,453 B</v>
      </c>
      <c r="O224" t="str">
        <v>19,084 B</v>
      </c>
      <c r="P224" t="str">
        <v>17,306 B</v>
      </c>
    </row>
    <row r="225">
      <c r="B225" t="str">
        <v>Revenue - TTM (Q1)</v>
      </c>
      <c r="G225" t="str">
        <v>29,132 B</v>
      </c>
      <c r="H225" t="str">
        <v>28,655 B</v>
      </c>
      <c r="I225" t="str">
        <v>21,815 B</v>
      </c>
      <c r="J225" t="str">
        <v>20,745 B</v>
      </c>
      <c r="K225" t="str">
        <v>21,829 B</v>
      </c>
      <c r="L225" t="str">
        <v>24,322 B</v>
      </c>
      <c r="M225" t="str">
        <v>18,807 B</v>
      </c>
      <c r="N225" t="str">
        <v>17,453 B</v>
      </c>
      <c r="O225" t="str">
        <v>19,084 B</v>
      </c>
      <c r="P225" t="str">
        <v>17,306 B</v>
      </c>
    </row>
    <row r="226">
      <c r="B226" t="str">
        <v>Revenue - Div (TTM)</v>
      </c>
      <c r="G226" t="str">
        <v>458.00</v>
      </c>
      <c r="H226" t="str">
        <v>458.00</v>
      </c>
      <c r="I226" t="str">
        <v>268.00</v>
      </c>
      <c r="J226" t="str">
        <v>247.00</v>
      </c>
      <c r="K226" t="str">
        <v>404.00</v>
      </c>
      <c r="L226" t="str">
        <v>461.00</v>
      </c>
      <c r="M226" t="str">
        <v>195.00</v>
      </c>
      <c r="N226" t="str">
        <v>49.00</v>
      </c>
      <c r="O226" t="str">
        <v>336.00</v>
      </c>
      <c r="P226" t="str">
        <v>470.00</v>
      </c>
    </row>
    <row r="227">
      <c r="B227" t="str">
        <v>Revenue - Payout Ratio</v>
      </c>
      <c r="G227" t="str">
        <v>59.02%</v>
      </c>
      <c r="H227" t="str">
        <v>59.90%</v>
      </c>
      <c r="I227" t="str">
        <v>44.95%</v>
      </c>
      <c r="J227" t="str">
        <v>45.02%</v>
      </c>
      <c r="K227" t="str">
        <v>45.03%</v>
      </c>
      <c r="L227" t="str">
        <v>45.01%</v>
      </c>
      <c r="M227" t="str">
        <v>45.05%</v>
      </c>
      <c r="N227" t="str">
        <v>44.67%</v>
      </c>
      <c r="O227" t="str">
        <v>44.96%</v>
      </c>
      <c r="P227" t="str">
        <v>45.00%</v>
      </c>
    </row>
    <row r="228">
      <c r="B228" t="str">
        <v>Revenue - Div Yield</v>
      </c>
      <c r="G228" t="str">
        <v>7.42%</v>
      </c>
      <c r="H228" t="str">
        <v>5.52%</v>
      </c>
      <c r="I228" t="str">
        <v>4.45%</v>
      </c>
      <c r="J228" t="str">
        <v>3.84%</v>
      </c>
      <c r="K228" t="str">
        <v>4.93%</v>
      </c>
      <c r="L228" t="str">
        <v>3.51%</v>
      </c>
      <c r="M228" t="str">
        <v>2.06%</v>
      </c>
      <c r="N228" t="str">
        <v>0.57%</v>
      </c>
      <c r="O228" t="str">
        <v>3.00%</v>
      </c>
      <c r="P228" t="str">
        <v>3.42%</v>
      </c>
    </row>
    <row r="229">
      <c r="B229" t="str">
        <v>Current PE Ratio (Annualised)</v>
      </c>
      <c r="H229" t="str">
        <v>7.96</v>
      </c>
    </row>
    <row r="230">
      <c r="B230" t="str">
        <v>Current PE Ratio (TTM)</v>
      </c>
      <c r="H230" t="str">
        <v>7.58</v>
      </c>
    </row>
    <row r="231">
      <c r="B231" t="str">
        <v>Forward PE Ratio</v>
      </c>
      <c r="H231" t="str">
        <v>7.02</v>
      </c>
    </row>
    <row r="232">
      <c r="B232" t="str">
        <v>IHSG PE Ratio TTM (Median)</v>
      </c>
      <c r="H232" t="str">
        <v>7.41</v>
      </c>
    </row>
    <row r="233">
      <c r="B233" t="str">
        <v>Earnings Yield (TTM)</v>
      </c>
      <c r="H233" t="str">
        <v>13.19%</v>
      </c>
    </row>
    <row r="234">
      <c r="B234" t="str">
        <v>Current Price to Sales (TTM)</v>
      </c>
      <c r="H234" t="str">
        <v>0.41</v>
      </c>
    </row>
    <row r="235">
      <c r="B235" t="str">
        <v>Current Price to Book Value</v>
      </c>
      <c r="H235" t="str">
        <v>0.50</v>
      </c>
    </row>
    <row r="236">
      <c r="B236" t="str">
        <v>Current Price To Cashflow (TTM)</v>
      </c>
      <c r="H236" t="str">
        <v>2.99</v>
      </c>
    </row>
    <row r="237">
      <c r="B237" t="str">
        <v>Current Price To Free Cashflow (TTM)</v>
      </c>
      <c r="H237" t="str">
        <v>3.75</v>
      </c>
    </row>
    <row r="238">
      <c r="B238" t="str">
        <v>EV to EBIT (TTM)</v>
      </c>
      <c r="H238" t="str">
        <v>2.93</v>
      </c>
    </row>
    <row r="239">
      <c r="B239" t="str">
        <v>EV to EBITDA (TTM)</v>
      </c>
      <c r="H239" t="str">
        <v>1.88</v>
      </c>
    </row>
    <row r="240">
      <c r="B240" t="str">
        <v>PEG Ratio</v>
      </c>
      <c r="H240" t="str">
        <v>0.27</v>
      </c>
    </row>
    <row r="241">
      <c r="B241" t="str">
        <v>PEG Ratio (3yr)</v>
      </c>
      <c r="H241" t="str">
        <v>-1.46</v>
      </c>
    </row>
    <row r="242">
      <c r="B242" t="str">
        <v>PEG (Forward)</v>
      </c>
      <c r="H242" t="str">
        <v>0.64</v>
      </c>
    </row>
    <row r="243">
      <c r="B243" t="str">
        <v>Current EPS (TTM)</v>
      </c>
      <c r="H243" t="str">
        <v>814.72</v>
      </c>
    </row>
    <row r="244">
      <c r="B244" t="str">
        <v>Current EPS (Annualised)</v>
      </c>
      <c r="H244" t="str">
        <v>776.04</v>
      </c>
    </row>
    <row r="245">
      <c r="B245" t="str">
        <v>Revenue Per Share (TTM)</v>
      </c>
      <c r="H245" t="str">
        <v>15,136.22</v>
      </c>
    </row>
    <row r="246">
      <c r="B246" t="str">
        <v>Cash Per Share (Quarter)</v>
      </c>
      <c r="C246" t="str">
        <v>2,443.96</v>
      </c>
    </row>
    <row r="247">
      <c r="B247" t="str">
        <v>Current Book Value Per Share</v>
      </c>
      <c r="H247" t="str">
        <v>12,426.62</v>
      </c>
    </row>
    <row r="248">
      <c r="B248" t="str">
        <v>Free Cashflow Per Share (TTM)</v>
      </c>
      <c r="H248" t="str">
        <v>1,645.99</v>
      </c>
    </row>
    <row r="249">
      <c r="B249" t="str">
        <v>Current Ratio (Quarter)</v>
      </c>
      <c r="C249" t="str">
        <v>4.00</v>
      </c>
    </row>
    <row r="250">
      <c r="B250" t="str">
        <v>Quick Ratio (Quarter)</v>
      </c>
      <c r="C250" t="str">
        <v>2.80</v>
      </c>
    </row>
    <row r="251">
      <c r="B251" t="str">
        <v>Total Liabilities/Equity (Quarter)</v>
      </c>
      <c r="C251" t="str">
        <v>0.14</v>
      </c>
    </row>
    <row r="252">
      <c r="B252" t="str">
        <v>Financial Leverage (Quarter)</v>
      </c>
      <c r="C252" t="str">
        <v>1.17</v>
      </c>
    </row>
    <row r="253">
      <c r="B253" t="str">
        <v>Interest Coverage (TTM)</v>
      </c>
      <c r="H253" t="str">
        <v>29.17</v>
      </c>
    </row>
    <row r="254">
      <c r="B254" t="str">
        <v>Free cash flow (Quarter)</v>
      </c>
      <c r="C254" t="str">
        <v>1,946 B</v>
      </c>
    </row>
    <row r="255">
      <c r="B255" t="str">
        <v>Altman Z-Score (Modified)</v>
      </c>
      <c r="H255" t="str">
        <v>12.07</v>
      </c>
    </row>
    <row r="256">
      <c r="B256" t="str">
        <v>Return on Assets (TTM)</v>
      </c>
      <c r="H256" t="str">
        <v>5.62%</v>
      </c>
    </row>
    <row r="257">
      <c r="B257" t="str">
        <v>Return on Equity (TTM)</v>
      </c>
      <c r="H257" t="str">
        <v>6.56%</v>
      </c>
    </row>
    <row r="258">
      <c r="B258" t="str">
        <v>Return on Capital Employed (TTM)</v>
      </c>
      <c r="H258" t="str">
        <v>10.55%</v>
      </c>
    </row>
    <row r="259">
      <c r="B259" t="str">
        <v>Return On Invested Capital (TTM)</v>
      </c>
      <c r="H259" t="str">
        <v>7.50%</v>
      </c>
    </row>
    <row r="260">
      <c r="B260" t="str">
        <v>Days Sales Outstanding (Quarter)</v>
      </c>
      <c r="C260" t="str">
        <v>12.76</v>
      </c>
    </row>
    <row r="261">
      <c r="B261" t="str">
        <v>Days Inventory (Quarter)</v>
      </c>
      <c r="C261" t="str">
        <v>44.34</v>
      </c>
    </row>
    <row r="262">
      <c r="B262" t="str">
        <v>Days Payables Outstanding (Quarter)</v>
      </c>
      <c r="C262" t="str">
        <v>12.96</v>
      </c>
    </row>
    <row r="263">
      <c r="B263" t="str">
        <v>Cash Conversion Cycle (Quarter)</v>
      </c>
      <c r="C263" t="str">
        <v>44.14</v>
      </c>
    </row>
    <row r="264">
      <c r="B264" t="str">
        <v>Receivables Turnover (Quarter)</v>
      </c>
      <c r="C264" t="str">
        <v>7.13</v>
      </c>
    </row>
    <row r="265">
      <c r="B265" t="str">
        <v>Asset Turnover (TTM)</v>
      </c>
      <c r="H265" t="str">
        <v>1.06</v>
      </c>
    </row>
    <row r="266">
      <c r="B266" t="str">
        <v>Inventory Turnover (TTM)</v>
      </c>
      <c r="H266" t="str">
        <v>7.86</v>
      </c>
    </row>
    <row r="267">
      <c r="B267" t="str">
        <v>Market Cap</v>
      </c>
      <c r="H267" t="str">
        <v>11,885 B</v>
      </c>
    </row>
    <row r="268">
      <c r="B268" t="str">
        <v>Enterprise Value</v>
      </c>
      <c r="H268" t="str">
        <v>7,797 B</v>
      </c>
    </row>
    <row r="269">
      <c r="B269" t="str">
        <v>Current Share Outstanding</v>
      </c>
      <c r="H269" t="str">
        <v>1.92 B</v>
      </c>
    </row>
    <row r="270">
      <c r="B270" t="str">
        <v>Free Float</v>
      </c>
      <c r="H270" t="str">
        <v>20.28%</v>
      </c>
    </row>
    <row r="271">
      <c r="B271" t="str">
        <v>Gross Profit Margin (Quarter)</v>
      </c>
      <c r="C271" t="str">
        <v>15.50%</v>
      </c>
    </row>
    <row r="272">
      <c r="B272" t="str">
        <v>Operating Profit Margin (Quarter)</v>
      </c>
      <c r="C272" t="str">
        <v>9.66%</v>
      </c>
    </row>
    <row r="273">
      <c r="B273" t="str">
        <v>Net Profit Margin (Quarter)</v>
      </c>
      <c r="C273" t="str">
        <v>4.98%</v>
      </c>
    </row>
    <row r="274">
      <c r="B274" t="str">
        <v>Revenue (Quarter YoY Growth)</v>
      </c>
      <c r="C274" t="str">
        <v>6.80%</v>
      </c>
    </row>
    <row r="275">
      <c r="B275" t="str">
        <v>Gross Profit (Quarter YoY Growth)</v>
      </c>
      <c r="C275" t="str">
        <v>24.03%</v>
      </c>
    </row>
    <row r="276">
      <c r="B276" t="str">
        <v>Net Income (Quarter YoY Growth)</v>
      </c>
      <c r="C276" t="str">
        <v>34.79%</v>
      </c>
    </row>
    <row r="277">
      <c r="B277" t="str">
        <v>Dividend</v>
      </c>
      <c r="H277" t="str">
        <v>335.00</v>
      </c>
    </row>
    <row r="278">
      <c r="B278" t="str">
        <v>Dividend (TTM)</v>
      </c>
      <c r="H278" t="str">
        <v>458.00</v>
      </c>
    </row>
    <row r="279">
      <c r="B279" t="str">
        <v>Payout Ratio</v>
      </c>
      <c r="H279" t="str">
        <v>59.02%</v>
      </c>
    </row>
    <row r="280">
      <c r="B280" t="str">
        <v>Dividend Yield</v>
      </c>
      <c r="H280" t="str">
        <v>7.42%</v>
      </c>
    </row>
    <row r="281">
      <c r="B281" t="str">
        <v>Latest Dividend Ex-Date</v>
      </c>
      <c r="H281" t="str">
        <v>24 Apr 26</v>
      </c>
    </row>
    <row r="282">
      <c r="B282" t="str">
        <v>Piotroski F-Score</v>
      </c>
      <c r="H282" t="str">
        <v>9.00</v>
      </c>
    </row>
    <row r="283">
      <c r="B283" t="str">
        <v>Relative Strength Rating</v>
      </c>
      <c r="H283" t="str">
        <v>42.00%</v>
      </c>
    </row>
    <row r="284">
      <c r="B284" t="str">
        <v>Rank (Market Cap)</v>
      </c>
      <c r="H284" t="str">
        <v>86.00%</v>
      </c>
    </row>
    <row r="285">
      <c r="B285" t="str">
        <v>Rank (Current PE Ratio TTM)</v>
      </c>
      <c r="H285" t="str">
        <v>76.00%</v>
      </c>
    </row>
    <row r="286">
      <c r="B286" t="str">
        <v>Rank (Earnings Yield)</v>
      </c>
      <c r="H286" t="str">
        <v>76.00%</v>
      </c>
    </row>
    <row r="287">
      <c r="B287" t="str">
        <v>Rank (P/S)</v>
      </c>
      <c r="H287" t="str">
        <v>80.00%</v>
      </c>
    </row>
    <row r="288">
      <c r="B288" t="str">
        <v>Rank (P/B)</v>
      </c>
      <c r="H288" t="str">
        <v>81.00%</v>
      </c>
    </row>
    <row r="289">
      <c r="B289" t="str">
        <v>Rank (Near 52 Weeks High)</v>
      </c>
      <c r="H289" t="str">
        <v>72.00%</v>
      </c>
    </row>
    <row r="290">
      <c r="B290" t="str">
        <v>Revenue (TTM)</v>
      </c>
      <c r="H290" t="str">
        <v>29,132 B</v>
      </c>
    </row>
    <row r="291">
      <c r="B291" t="str">
        <v>Gross Profit (TTM)</v>
      </c>
      <c r="H291" t="str">
        <v>4,857 B</v>
      </c>
    </row>
    <row r="292">
      <c r="B292" t="str">
        <v>EBITDA (TTM)</v>
      </c>
      <c r="H292" t="str">
        <v>4,146 B</v>
      </c>
    </row>
    <row r="293">
      <c r="B293" t="str">
        <v>Net Income (TTM)</v>
      </c>
      <c r="H293" t="str">
        <v>1,568 B</v>
      </c>
    </row>
    <row r="294">
      <c r="B294" t="str">
        <v>Cash (Quarter)</v>
      </c>
      <c r="C294" t="str">
        <v>4,704 B</v>
      </c>
    </row>
    <row r="295">
      <c r="B295" t="str">
        <v>Total Assets (Quarter)</v>
      </c>
      <c r="C295" t="str">
        <v>27,893 B</v>
      </c>
    </row>
    <row r="296">
      <c r="B296" t="str">
        <v>Total Liabilities (Quarter)</v>
      </c>
      <c r="C296" t="str">
        <v>3,360 B</v>
      </c>
    </row>
    <row r="297">
      <c r="B297" t="str">
        <v>Working Capital (Quarter)</v>
      </c>
      <c r="C297" t="str">
        <v>7,328 B</v>
      </c>
    </row>
    <row r="298">
      <c r="B298" t="str">
        <v>Common Equity</v>
      </c>
      <c r="H298" t="str">
        <v>23,917 B</v>
      </c>
    </row>
    <row r="299">
      <c r="B299" t="str">
        <v>Net Debt (Quarter)</v>
      </c>
      <c r="C299" t="str">
        <v>(4,704 B)</v>
      </c>
    </row>
    <row r="300">
      <c r="B300" t="str">
        <v>Total Equity</v>
      </c>
      <c r="H300" t="str">
        <v>24,534 B</v>
      </c>
    </row>
    <row r="301">
      <c r="B301" t="str">
        <v>Cash From Operations (TTM)</v>
      </c>
      <c r="H301" t="str">
        <v>3,979 B</v>
      </c>
    </row>
    <row r="302">
      <c r="B302" t="str">
        <v>Cash From Investing (TTM)</v>
      </c>
      <c r="H302" t="str">
        <v>(811 B)</v>
      </c>
    </row>
    <row r="303">
      <c r="B303" t="str">
        <v>Cash From Financing (TTM)</v>
      </c>
      <c r="H303" t="str">
        <v>(3,914 B)</v>
      </c>
    </row>
    <row r="304">
      <c r="B304" t="str">
        <v>Capital expenditure (TTM)</v>
      </c>
      <c r="H304" t="str">
        <v>(811 B)</v>
      </c>
    </row>
    <row r="305">
      <c r="B305" t="str">
        <v>Free cash flow (TTM)</v>
      </c>
      <c r="H305" t="str">
        <v>3,168 B</v>
      </c>
    </row>
  </sheetData>
  <ignoredErrors>
    <ignoredError numberStoredAsText="1" sqref="A1:Z3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57"/>
  <sheetViews>
    <sheetView workbookViewId="0"/>
  </sheetViews>
  <cols>
    <col min="1" max="1" width="38.83203125" customWidth="1"/>
    <col min="2" max="2" width="28.83203125" customWidth="1"/>
    <col min="3" max="3" width="3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</cols>
  <sheetData>
    <row r="1">
      <c r="C1" t="str">
        <v>ANTM</v>
      </c>
      <c r="D1" t="str">
        <v>Q1</v>
      </c>
      <c r="H1" t="str">
        <v>tahun Berjalan</v>
      </c>
      <c r="I1" s="1">
        <v>45656</v>
      </c>
      <c r="J1" s="1">
        <v>45290</v>
      </c>
      <c r="K1" s="1">
        <v>44925</v>
      </c>
      <c r="L1" s="1">
        <v>44560</v>
      </c>
      <c r="M1" s="1">
        <v>44195</v>
      </c>
      <c r="N1" s="1">
        <v>43829</v>
      </c>
      <c r="O1" s="1">
        <v>43464</v>
      </c>
      <c r="P1" s="1">
        <v>43099</v>
      </c>
      <c r="Q1" s="1">
        <v>42734</v>
      </c>
      <c r="R1" s="1">
        <v>42368</v>
      </c>
      <c r="S1" s="1">
        <v>42003</v>
      </c>
      <c r="T1" s="1">
        <v>41638</v>
      </c>
      <c r="U1" s="1">
        <v>41273</v>
      </c>
      <c r="V1" s="1">
        <v>40907</v>
      </c>
      <c r="W1" s="1">
        <v>40542</v>
      </c>
      <c r="X1" s="1">
        <v>40177</v>
      </c>
      <c r="Y1" s="1">
        <v>39812</v>
      </c>
      <c r="Z1" s="1">
        <v>39446</v>
      </c>
    </row>
    <row r="2">
      <c r="C2" t="str">
        <v>#VALUE!</v>
      </c>
      <c r="D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>
      <c r="D3" t="str">
        <v>Apr 2026</v>
      </c>
    </row>
    <row r="4">
      <c r="B4" t="str">
        <v>LABA KOTOR</v>
      </c>
      <c r="C4" t="str">
        <v>Total Pendapatan</v>
      </c>
      <c r="D4" s="2">
        <f>IFERROR(INDEX(C51:C500,MATCH($C$4,$B$51:$B$500,0)),"")</f>
        <v>0</v>
      </c>
      <c r="H4" s="2">
        <f>IFERROR(SUM(D4:G4)*(4/MAX(1,COUNT(D4:G4))),=IFERROR(INDEX(H51:H500,MATCH($C$4,$B$51:$B$500,0)),""))</f>
        <v>0</v>
      </c>
      <c r="I4" s="2">
        <f>IFERROR(INDEX(I51:I500,MATCH($C$4,$B$51:$B$500,0)),"")</f>
        <v>0</v>
      </c>
      <c r="J4" s="2">
        <f>IFERROR(INDEX(J51:J500,MATCH($C$4,$B$51:$B$500,0)),"")</f>
        <v>0</v>
      </c>
      <c r="K4" s="2">
        <f>IFERROR(INDEX(K51:K500,MATCH($C$4,$B$51:$B$500,0)),"")</f>
        <v>0</v>
      </c>
      <c r="L4" s="2">
        <f>IFERROR(INDEX(L51:L500,MATCH($C$4,$B$51:$B$500,0)),"")</f>
        <v>0</v>
      </c>
      <c r="M4" s="2">
        <f>IFERROR(INDEX(M51:M500,MATCH($C$4,$B$51:$B$500,0)),"")</f>
        <v>0</v>
      </c>
      <c r="N4" s="2">
        <f>IFERROR(INDEX(N51:N500,MATCH($C$4,$B$51:$B$500,0)),"")</f>
        <v>0</v>
      </c>
      <c r="O4" s="2">
        <f>IFERROR(INDEX(O51:O500,MATCH($C$4,$B$51:$B$500,0)),"")</f>
        <v>0</v>
      </c>
      <c r="P4" s="2">
        <f>IFERROR(INDEX(P51:P500,MATCH($C$4,$B$51:$B$500,0)),"")</f>
        <v>0</v>
      </c>
      <c r="Q4" s="2">
        <f>IFERROR(INDEX(Q51:Q500,MATCH($C$4,$B$51:$B$500,0)),"")</f>
        <v>0</v>
      </c>
      <c r="R4" s="2">
        <f>IFERROR(INDEX(R51:R500,MATCH($C$4,$B$51:$B$500,0)),"")</f>
        <v>0</v>
      </c>
      <c r="S4" s="2">
        <f>IFERROR(INDEX(S51:S500,MATCH($C$4,$B$51:$B$500,0)),"")</f>
        <v>0</v>
      </c>
      <c r="T4" s="2">
        <f>IFERROR(INDEX(T51:T500,MATCH($C$4,$B$51:$B$500,0)),"")</f>
        <v>0</v>
      </c>
      <c r="U4" s="2">
        <f>IFERROR(INDEX(U51:U500,MATCH($C$4,$B$51:$B$500,0)),"")</f>
        <v>0</v>
      </c>
      <c r="V4" s="2">
        <f>IFERROR(INDEX(V51:V500,MATCH($C$4,$B$51:$B$500,0)),"")</f>
        <v>0</v>
      </c>
      <c r="W4" s="2">
        <f>IFERROR(INDEX(W51:W500,MATCH($C$4,$B$51:$B$500,0)),"")</f>
        <v>0</v>
      </c>
      <c r="X4" s="2">
        <f>IFERROR(INDEX(X51:X500,MATCH($C$4,$B$51:$B$500,0)),"")</f>
        <v>0</v>
      </c>
      <c r="Y4" s="2">
        <f>IFERROR(INDEX(Y51:Y500,MATCH($C$4,$B$51:$B$500,0)),"")</f>
        <v>0</v>
      </c>
      <c r="Z4" s="2">
        <f>IFERROR(INDEX(Z51:Z500,MATCH($C$4,$B$51:$B$500,0)),"")</f>
        <v>0</v>
      </c>
    </row>
    <row r="5">
      <c r="B5" t="str">
        <v>BERSIH</v>
      </c>
      <c r="C5" t="str">
        <v>Pemilik Entitas Induk</v>
      </c>
      <c r="D5" s="2">
        <f>IFERROR(INDEX(C51:C500,MATCH($C$5,$B$51:$B$500,0)),"")</f>
        <v>0</v>
      </c>
      <c r="H5" s="2">
        <f>IFERROR(SUM(D5:G5)*(4/MAX(1,COUNT(D5:G5))),=IFERROR(INDEX(H51:H500,MATCH($C$5,$B$51:$B$500,0)),""))</f>
        <v>0</v>
      </c>
      <c r="I5" s="2">
        <f>IFERROR(INDEX(I51:I500,MATCH($C$5,$B$51:$B$500,0)),"")</f>
        <v>0</v>
      </c>
      <c r="J5" s="2">
        <f>IFERROR(INDEX(J51:J500,MATCH($C$5,$B$51:$B$500,0)),"")</f>
        <v>0</v>
      </c>
      <c r="K5" s="2">
        <f>IFERROR(INDEX(K51:K500,MATCH($C$5,$B$51:$B$500,0)),"")</f>
        <v>0</v>
      </c>
      <c r="L5" s="2">
        <f>IFERROR(INDEX(L51:L500,MATCH($C$5,$B$51:$B$500,0)),"")</f>
        <v>0</v>
      </c>
      <c r="M5" s="2">
        <f>IFERROR(INDEX(M51:M500,MATCH($C$5,$B$51:$B$500,0)),"")</f>
        <v>0</v>
      </c>
      <c r="N5" s="2">
        <f>IFERROR(INDEX(N51:N500,MATCH($C$5,$B$51:$B$500,0)),"")</f>
        <v>0</v>
      </c>
      <c r="O5" s="2">
        <f>IFERROR(INDEX(O51:O500,MATCH($C$5,$B$51:$B$500,0)),"")</f>
        <v>0</v>
      </c>
      <c r="P5" s="2">
        <f>IFERROR(INDEX(P51:P500,MATCH($C$5,$B$51:$B$500,0)),"")</f>
        <v>0</v>
      </c>
      <c r="Q5" s="2">
        <f>IFERROR(INDEX(Q51:Q500,MATCH($C$5,$B$51:$B$500,0)),"")</f>
        <v>0</v>
      </c>
      <c r="R5" s="2">
        <f>IFERROR(INDEX(R51:R500,MATCH($C$5,$B$51:$B$500,0)),"")</f>
        <v>0</v>
      </c>
      <c r="S5" s="2">
        <f>IFERROR(INDEX(S51:S500,MATCH($C$5,$B$51:$B$500,0)),"")</f>
        <v>0</v>
      </c>
      <c r="T5" s="2">
        <f>IFERROR(INDEX(T51:T500,MATCH($C$5,$B$51:$B$500,0)),"")</f>
        <v>0</v>
      </c>
      <c r="U5" s="2">
        <f>IFERROR(INDEX(U51:U500,MATCH($C$5,$B$51:$B$500,0)),"")</f>
        <v>0</v>
      </c>
      <c r="V5" s="2">
        <f>IFERROR(INDEX(V51:V500,MATCH($C$5,$B$51:$B$500,0)),"")</f>
        <v>0</v>
      </c>
      <c r="W5" s="2">
        <f>IFERROR(INDEX(W51:W500,MATCH($C$5,$B$51:$B$500,0)),"")</f>
        <v>0</v>
      </c>
      <c r="X5" s="2">
        <f>IFERROR(INDEX(X51:X500,MATCH($C$5,$B$51:$B$500,0)),"")</f>
        <v>0</v>
      </c>
      <c r="Y5" s="2">
        <f>IFERROR(INDEX(Y51:Y500,MATCH($C$5,$B$51:$B$500,0)),"")</f>
        <v>0</v>
      </c>
      <c r="Z5" s="2">
        <f>IFERROR(INDEX(Z51:Z500,MATCH($C$5,$B$51:$B$500,0)),"")</f>
        <v>0</v>
      </c>
    </row>
    <row r="6">
      <c r="B6" t="str">
        <v>EQUITY</v>
      </c>
      <c r="C6" t="str">
        <v>Total Ekuitas</v>
      </c>
      <c r="D6" s="2">
        <f>IFERROR(INDEX(C51:C500,MATCH($C$6,$B$51:$B$500,0)),"")</f>
        <v>0</v>
      </c>
      <c r="H6" s="2">
        <f>IFERROR(INDEX(H51:H500,MATCH($C$6,$B$51:$B$500,0)),"")</f>
        <v>0</v>
      </c>
      <c r="I6" s="2">
        <f>IFERROR(INDEX(I51:I500,MATCH($C$6,$B$51:$B$500,0)),"")</f>
        <v>0</v>
      </c>
      <c r="J6" s="2">
        <f>IFERROR(INDEX(J51:J500,MATCH($C$6,$B$51:$B$500,0)),"")</f>
        <v>0</v>
      </c>
      <c r="K6" s="2">
        <f>IFERROR(INDEX(K51:K500,MATCH($C$6,$B$51:$B$500,0)),"")</f>
        <v>0</v>
      </c>
      <c r="L6" s="2">
        <f>IFERROR(INDEX(L51:L500,MATCH($C$6,$B$51:$B$500,0)),"")</f>
        <v>0</v>
      </c>
      <c r="M6" s="2">
        <f>IFERROR(INDEX(M51:M500,MATCH($C$6,$B$51:$B$500,0)),"")</f>
        <v>0</v>
      </c>
      <c r="N6" s="2">
        <f>IFERROR(INDEX(N51:N500,MATCH($C$6,$B$51:$B$500,0)),"")</f>
        <v>0</v>
      </c>
      <c r="O6" s="2">
        <f>IFERROR(INDEX(O51:O500,MATCH($C$6,$B$51:$B$500,0)),"")</f>
        <v>0</v>
      </c>
      <c r="P6" s="2">
        <f>IFERROR(INDEX(P51:P500,MATCH($C$6,$B$51:$B$500,0)),"")</f>
        <v>0</v>
      </c>
      <c r="Q6" s="2">
        <f>IFERROR(INDEX(Q51:Q500,MATCH($C$6,$B$51:$B$500,0)),"")</f>
        <v>0</v>
      </c>
      <c r="R6" s="2">
        <f>IFERROR(INDEX(R51:R500,MATCH($C$6,$B$51:$B$500,0)),"")</f>
        <v>0</v>
      </c>
      <c r="S6" s="2">
        <f>IFERROR(INDEX(S51:S500,MATCH($C$6,$B$51:$B$500,0)),"")</f>
        <v>0</v>
      </c>
      <c r="T6" s="2">
        <f>IFERROR(INDEX(T51:T500,MATCH($C$6,$B$51:$B$500,0)),"")</f>
        <v>0</v>
      </c>
      <c r="U6" s="2">
        <f>IFERROR(INDEX(U51:U500,MATCH($C$6,$B$51:$B$500,0)),"")</f>
        <v>0</v>
      </c>
      <c r="V6" s="2">
        <f>IFERROR(INDEX(V51:V500,MATCH($C$6,$B$51:$B$500,0)),"")</f>
        <v>0</v>
      </c>
      <c r="W6" s="2">
        <f>IFERROR(INDEX(W51:W500,MATCH($C$6,$B$51:$B$500,0)),"")</f>
        <v>0</v>
      </c>
      <c r="X6" s="2">
        <f>IFERROR(INDEX(X51:X500,MATCH($C$6,$B$51:$B$500,0)),"")</f>
        <v>0</v>
      </c>
      <c r="Y6" s="2">
        <f>IFERROR(INDEX(Y51:Y500,MATCH($C$6,$B$51:$B$500,0)),"")</f>
        <v>0</v>
      </c>
      <c r="Z6" s="2">
        <f>IFERROR(INDEX(Z51:Z500,MATCH($C$6,$B$51:$B$500,0)),"")</f>
        <v>0</v>
      </c>
    </row>
    <row r="7">
      <c r="B7" t="str">
        <v>SAHAM BEREDAR</v>
      </c>
      <c r="C7" t="str">
        <v>Share Outstanding</v>
      </c>
      <c r="D7" s="2">
        <f>IFERROR(INDEX(C51:C500,MATCH("Share Outstanding",$B$51:$B$500,0)),IFERROR(INDEX(C51:C500,MATCH($C$7,$B$51:$B$500,0)),""))</f>
        <v>0</v>
      </c>
      <c r="H7" s="2">
        <f>IFERROR(INDEX(H51:H500,MATCH($C$7,$B$51:$B$500,0)),"")</f>
        <v>0</v>
      </c>
      <c r="I7" s="2">
        <f>IFERROR(INDEX(I51:I500,MATCH($C$7,$B$51:$B$500,0)),"")</f>
        <v>0</v>
      </c>
      <c r="J7" s="2">
        <f>IFERROR(INDEX(J51:J500,MATCH($C$7,$B$51:$B$500,0)),"")</f>
        <v>0</v>
      </c>
      <c r="K7" s="2">
        <f>IFERROR(INDEX(K51:K500,MATCH($C$7,$B$51:$B$500,0)),"")</f>
        <v>0</v>
      </c>
      <c r="L7" s="2">
        <f>IFERROR(INDEX(L51:L500,MATCH($C$7,$B$51:$B$500,0)),"")</f>
        <v>0</v>
      </c>
      <c r="M7" s="2">
        <f>IFERROR(INDEX(M51:M500,MATCH($C$7,$B$51:$B$500,0)),"")</f>
        <v>0</v>
      </c>
      <c r="N7" s="2">
        <f>IFERROR(INDEX(N51:N500,MATCH($C$7,$B$51:$B$500,0)),"")</f>
        <v>0</v>
      </c>
      <c r="O7" s="2">
        <f>IFERROR(INDEX(O51:O500,MATCH($C$7,$B$51:$B$500,0)),"")</f>
        <v>0</v>
      </c>
      <c r="P7" s="2">
        <f>IFERROR(INDEX(P51:P500,MATCH($C$7,$B$51:$B$500,0)),"")</f>
        <v>0</v>
      </c>
      <c r="Q7" s="2">
        <f>IFERROR(INDEX(Q51:Q500,MATCH($C$7,$B$51:$B$500,0)),"")</f>
        <v>0</v>
      </c>
      <c r="R7" s="2">
        <f>IFERROR(INDEX(R51:R500,MATCH($C$7,$B$51:$B$500,0)),"")</f>
        <v>0</v>
      </c>
      <c r="S7" s="2">
        <f>IFERROR(INDEX(S51:S500,MATCH($C$7,$B$51:$B$500,0)),"")</f>
        <v>0</v>
      </c>
      <c r="T7" s="2">
        <f>IFERROR(INDEX(T51:T500,MATCH($C$7,$B$51:$B$500,0)),"")</f>
        <v>0</v>
      </c>
      <c r="U7" s="2">
        <f>IFERROR(INDEX(U51:U500,MATCH($C$7,$B$51:$B$500,0)),"")</f>
        <v>0</v>
      </c>
      <c r="V7" s="2">
        <f>IFERROR(INDEX(V51:V500,MATCH($C$7,$B$51:$B$500,0)),"")</f>
        <v>0</v>
      </c>
      <c r="W7" s="2">
        <f>IFERROR(INDEX(W51:W500,MATCH($C$7,$B$51:$B$500,0)),"")</f>
        <v>0</v>
      </c>
      <c r="X7" s="2">
        <f>IFERROR(INDEX(X51:X500,MATCH($C$7,$B$51:$B$500,0)),"")</f>
        <v>0</v>
      </c>
      <c r="Y7" s="2">
        <f>IFERROR(INDEX(Y51:Y500,MATCH($C$7,$B$51:$B$500,0)),"")</f>
        <v>0</v>
      </c>
      <c r="Z7" s="2">
        <f>IFERROR(INDEX(Z51:Z500,MATCH($C$7,$B$51:$B$500,0)),"")</f>
        <v>0</v>
      </c>
    </row>
    <row r="8">
      <c r="A8" t="str">
        <v>Free cash flow (Quarter)</v>
      </c>
      <c r="B8" t="str">
        <v>FCF</v>
      </c>
      <c r="C8" t="str">
        <v>Free cash flow (Annual)</v>
      </c>
      <c r="D8" s="2">
        <f>IFERROR(INDEX(C51:C500,MATCH("Free cash flow (Quarter)",$B$51:$B$500,0)),"")</f>
        <v>0</v>
      </c>
      <c r="H8" s="2">
        <f>IFERROR(INDEX(H51:H500,MATCH($C$8,$B$51:$B$500,0)),"")</f>
        <v>0</v>
      </c>
      <c r="I8" s="2">
        <f>IFERROR(INDEX(I51:I500,MATCH($C$8,$B$51:$B$500,0)),"")</f>
        <v>0</v>
      </c>
      <c r="J8" s="2">
        <f>IFERROR(INDEX(J51:J500,MATCH($C$8,$B$51:$B$500,0)),"")</f>
        <v>0</v>
      </c>
      <c r="K8" s="2">
        <f>IFERROR(INDEX(K51:K500,MATCH($C$8,$B$51:$B$500,0)),"")</f>
        <v>0</v>
      </c>
      <c r="L8" s="2">
        <f>IFERROR(INDEX(L51:L500,MATCH($C$8,$B$51:$B$500,0)),"")</f>
        <v>0</v>
      </c>
      <c r="M8" s="2">
        <f>IFERROR(INDEX(M51:M500,MATCH($C$8,$B$51:$B$500,0)),"")</f>
        <v>0</v>
      </c>
      <c r="N8" s="2">
        <f>IFERROR(INDEX(N51:N500,MATCH($C$8,$B$51:$B$500,0)),"")</f>
        <v>0</v>
      </c>
      <c r="O8" s="2">
        <f>IFERROR(INDEX(O51:O500,MATCH($C$8,$B$51:$B$500,0)),"")</f>
        <v>0</v>
      </c>
      <c r="P8" s="2">
        <f>IFERROR(INDEX(P51:P500,MATCH($C$8,$B$51:$B$500,0)),"")</f>
        <v>0</v>
      </c>
      <c r="Q8" s="2">
        <f>IFERROR(INDEX(Q51:Q500,MATCH($C$8,$B$51:$B$500,0)),"")</f>
        <v>0</v>
      </c>
      <c r="R8" s="2">
        <f>IFERROR(INDEX(R51:R500,MATCH($C$8,$B$51:$B$500,0)),"")</f>
        <v>0</v>
      </c>
      <c r="S8" s="2">
        <f>IFERROR(INDEX(S51:S500,MATCH($C$8,$B$51:$B$500,0)),"")</f>
        <v>0</v>
      </c>
      <c r="T8" s="2">
        <f>IFERROR(INDEX(T51:T500,MATCH($C$8,$B$51:$B$500,0)),"")</f>
        <v>0</v>
      </c>
      <c r="U8" s="2">
        <f>IFERROR(INDEX(U51:U500,MATCH($C$8,$B$51:$B$500,0)),"")</f>
        <v>0</v>
      </c>
      <c r="V8" s="2">
        <f>IFERROR(INDEX(V51:V500,MATCH($C$8,$B$51:$B$500,0)),"")</f>
        <v>0</v>
      </c>
      <c r="W8" s="2">
        <f>IFERROR(INDEX(W51:W500,MATCH($C$8,$B$51:$B$500,0)),"")</f>
        <v>0</v>
      </c>
      <c r="X8" s="2">
        <f>IFERROR(INDEX(X51:X500,MATCH($C$8,$B$51:$B$500,0)),"")</f>
        <v>0</v>
      </c>
      <c r="Y8" s="2">
        <f>IFERROR(INDEX(Y51:Y500,MATCH($C$8,$B$51:$B$500,0)),"")</f>
        <v>0</v>
      </c>
      <c r="Z8" s="2">
        <f>IFERROR(INDEX(Z51:Z500,MATCH($C$8,$B$51:$B$500,0)),"")</f>
        <v>0</v>
      </c>
    </row>
    <row r="9">
      <c r="A9" t="str">
        <v>Free cash flow per share (Quarter)</v>
      </c>
      <c r="C9" t="str">
        <v>Free cash flow per share (Annual)</v>
      </c>
      <c r="D9" s="2">
        <f>IFERROR(INDEX(C51:C500,MATCH("Free cash flow per share (Quarter)",$B$51:$B$500,0)),"")</f>
        <v>0</v>
      </c>
      <c r="H9" s="2">
        <f>IFERROR(INDEX(H51:H500,MATCH($C$9,$B$51:$B$500,0)),"")</f>
        <v>0</v>
      </c>
      <c r="I9" s="2">
        <f>IFERROR(INDEX(I51:I500,MATCH($C$9,$B$51:$B$500,0)),"")</f>
        <v>0</v>
      </c>
      <c r="J9" s="2">
        <f>IFERROR(INDEX(J51:J500,MATCH($C$9,$B$51:$B$500,0)),"")</f>
        <v>0</v>
      </c>
      <c r="K9" s="2">
        <f>IFERROR(INDEX(K51:K500,MATCH($C$9,$B$51:$B$500,0)),"")</f>
        <v>0</v>
      </c>
      <c r="L9" s="2">
        <f>IFERROR(INDEX(L51:L500,MATCH($C$9,$B$51:$B$500,0)),"")</f>
        <v>0</v>
      </c>
      <c r="M9" s="2">
        <f>IFERROR(INDEX(M51:M500,MATCH($C$9,$B$51:$B$500,0)),"")</f>
        <v>0</v>
      </c>
      <c r="N9" s="2">
        <f>IFERROR(INDEX(N51:N500,MATCH($C$9,$B$51:$B$500,0)),"")</f>
        <v>0</v>
      </c>
      <c r="O9" s="2">
        <f>IFERROR(INDEX(O51:O500,MATCH($C$9,$B$51:$B$500,0)),"")</f>
        <v>0</v>
      </c>
      <c r="P9" s="2">
        <f>IFERROR(INDEX(P51:P500,MATCH($C$9,$B$51:$B$500,0)),"")</f>
        <v>0</v>
      </c>
      <c r="Q9" s="2">
        <f>IFERROR(INDEX(Q51:Q500,MATCH($C$9,$B$51:$B$500,0)),"")</f>
        <v>0</v>
      </c>
      <c r="R9" s="2">
        <f>IFERROR(INDEX(R51:R500,MATCH($C$9,$B$51:$B$500,0)),"")</f>
        <v>0</v>
      </c>
      <c r="S9" s="2">
        <f>IFERROR(INDEX(S51:S500,MATCH($C$9,$B$51:$B$500,0)),"")</f>
        <v>0</v>
      </c>
      <c r="T9" s="2">
        <f>IFERROR(INDEX(T51:T500,MATCH($C$9,$B$51:$B$500,0)),"")</f>
        <v>0</v>
      </c>
      <c r="U9" s="2">
        <f>IFERROR(INDEX(U51:U500,MATCH($C$9,$B$51:$B$500,0)),"")</f>
        <v>0</v>
      </c>
      <c r="V9" s="2">
        <f>IFERROR(INDEX(V51:V500,MATCH($C$9,$B$51:$B$500,0)),"")</f>
        <v>0</v>
      </c>
      <c r="W9" s="2">
        <f>IFERROR(INDEX(W51:W500,MATCH($C$9,$B$51:$B$500,0)),"")</f>
        <v>0</v>
      </c>
      <c r="X9" s="2">
        <f>IFERROR(INDEX(X51:X500,MATCH($C$9,$B$51:$B$500,0)),"")</f>
        <v>0</v>
      </c>
      <c r="Y9" s="2">
        <f>IFERROR(INDEX(Y51:Y500,MATCH($C$9,$B$51:$B$500,0)),"")</f>
        <v>0</v>
      </c>
      <c r="Z9" s="2">
        <f>IFERROR(INDEX(Z51:Z500,MATCH($C$9,$B$51:$B$500,0)),"")</f>
        <v>0</v>
      </c>
    </row>
    <row r="10">
      <c r="C10" t="str">
        <v>Price to Free Cash Flow (P/FCF)</v>
      </c>
      <c r="D10" s="2">
        <f>IFERROR(IF(D9=0,"",D2/D9),"")</f>
        <v>0</v>
      </c>
      <c r="I10" s="2">
        <f>IFERROR(IF(I9=0,"",I2/I9),"")</f>
        <v>0</v>
      </c>
      <c r="J10" s="2">
        <f>IFERROR(IF(J9=0,"",J2/J9),"")</f>
        <v>0</v>
      </c>
      <c r="K10" s="2">
        <f>IFERROR(IF(K9=0,"",K2/K9),"")</f>
        <v>0</v>
      </c>
      <c r="L10" s="2">
        <f>IFERROR(IF(L9=0,"",L2/L9),"")</f>
        <v>0</v>
      </c>
      <c r="M10" s="2">
        <f>IFERROR(IF(M9=0,"",M2/M9),"")</f>
        <v>0</v>
      </c>
      <c r="N10" s="2">
        <f>IFERROR(IF(N9=0,"",N2/N9),"")</f>
        <v>0</v>
      </c>
      <c r="O10" s="2">
        <f>IFERROR(IF(O9=0,"",O2/O9),"")</f>
        <v>0</v>
      </c>
      <c r="P10" s="2">
        <f>IFERROR(IF(P9=0,"",P2/P9),"")</f>
        <v>0</v>
      </c>
      <c r="Q10" s="2">
        <f>IFERROR(IF(Q9=0,"",Q2/Q9),"")</f>
        <v>0</v>
      </c>
      <c r="R10" s="2">
        <f>IFERROR(IF(R9=0,"",R2/R9),"")</f>
        <v>0</v>
      </c>
      <c r="S10" s="2">
        <f>IFERROR(IF(S9=0,"",S2/S9),"")</f>
        <v>0</v>
      </c>
      <c r="T10" s="2">
        <f>IFERROR(IF(T9=0,"",T2/T9),"")</f>
        <v>0</v>
      </c>
      <c r="U10" s="2">
        <f>IFERROR(IF(U9=0,"",U2/U9),"")</f>
        <v>0</v>
      </c>
      <c r="V10" s="2">
        <f>IFERROR(IF(V9=0,"",V2/V9),"")</f>
        <v>0</v>
      </c>
      <c r="W10" s="2">
        <f>IFERROR(IF(W9=0,"",W2/W9),"")</f>
        <v>0</v>
      </c>
      <c r="X10" s="2">
        <f>IFERROR(IF(X9=0,"",X2/X9),"")</f>
        <v>0</v>
      </c>
      <c r="Y10" s="2">
        <f>IFERROR(IF(Y9=0,"",Y2/Y9),"")</f>
        <v>0</v>
      </c>
      <c r="Z10" s="2">
        <f>IFERROR(IF(Z9=0,"",Z2/Z9),"")</f>
        <v>0</v>
      </c>
    </row>
    <row r="11">
      <c r="B11" t="str">
        <v>Total Kas</v>
      </c>
      <c r="C11" t="str">
        <v>Kas Dan Setara Kas</v>
      </c>
      <c r="D11" s="2">
        <f>IFERROR(INDEX(C51:C500,MATCH($C$11,$B$51:$B$500,0)),"")</f>
        <v>0</v>
      </c>
      <c r="H11" s="2">
        <f>IFERROR(INDEX(H51:H500,MATCH($C$11,$B$51:$B$500,0)),"")</f>
        <v>0</v>
      </c>
      <c r="I11" s="2">
        <f>IFERROR(INDEX(I51:I500,MATCH($C$11,$B$51:$B$500,0)),"")</f>
        <v>0</v>
      </c>
      <c r="J11" s="2">
        <f>IFERROR(INDEX(J51:J500,MATCH($C$11,$B$51:$B$500,0)),"")</f>
        <v>0</v>
      </c>
      <c r="K11" s="2">
        <f>IFERROR(INDEX(K51:K500,MATCH($C$11,$B$51:$B$500,0)),"")</f>
        <v>0</v>
      </c>
      <c r="L11" s="2">
        <f>IFERROR(INDEX(L51:L500,MATCH($C$11,$B$51:$B$500,0)),"")</f>
        <v>0</v>
      </c>
      <c r="M11" s="2">
        <f>IFERROR(INDEX(M51:M500,MATCH($C$11,$B$51:$B$500,0)),"")</f>
        <v>0</v>
      </c>
      <c r="N11" s="2">
        <f>IFERROR(INDEX(N51:N500,MATCH($C$11,$B$51:$B$500,0)),"")</f>
        <v>0</v>
      </c>
      <c r="O11" s="2">
        <f>IFERROR(INDEX(O51:O500,MATCH($C$11,$B$51:$B$500,0)),"")</f>
        <v>0</v>
      </c>
      <c r="P11" s="2">
        <f>IFERROR(INDEX(P51:P500,MATCH($C$11,$B$51:$B$500,0)),"")</f>
        <v>0</v>
      </c>
      <c r="Q11" s="2">
        <f>IFERROR(INDEX(Q51:Q500,MATCH($C$11,$B$51:$B$500,0)),"")</f>
        <v>0</v>
      </c>
      <c r="R11" s="2">
        <f>IFERROR(INDEX(R51:R500,MATCH($C$11,$B$51:$B$500,0)),"")</f>
        <v>0</v>
      </c>
      <c r="S11" s="2">
        <f>IFERROR(INDEX(S51:S500,MATCH($C$11,$B$51:$B$500,0)),"")</f>
        <v>0</v>
      </c>
      <c r="T11" s="2">
        <f>IFERROR(INDEX(T51:T500,MATCH($C$11,$B$51:$B$500,0)),"")</f>
        <v>0</v>
      </c>
      <c r="U11" s="2">
        <f>IFERROR(INDEX(U51:U500,MATCH($C$11,$B$51:$B$500,0)),"")</f>
        <v>0</v>
      </c>
      <c r="V11" s="2">
        <f>IFERROR(INDEX(V51:V500,MATCH($C$11,$B$51:$B$500,0)),"")</f>
        <v>0</v>
      </c>
      <c r="W11" s="2">
        <f>IFERROR(INDEX(W51:W500,MATCH($C$11,$B$51:$B$500,0)),"")</f>
        <v>0</v>
      </c>
      <c r="X11" s="2">
        <f>IFERROR(INDEX(X51:X500,MATCH($C$11,$B$51:$B$500,0)),"")</f>
        <v>0</v>
      </c>
      <c r="Y11" s="2">
        <f>IFERROR(INDEX(Y51:Y500,MATCH($C$11,$B$51:$B$500,0)),"")</f>
        <v>0</v>
      </c>
      <c r="Z11" s="2">
        <f>IFERROR(INDEX(Z51:Z500,MATCH($C$11,$B$51:$B$500,0)),"")</f>
        <v>0</v>
      </c>
    </row>
    <row r="12">
      <c r="A12" t="str">
        <v>Net Debt (Quarter)</v>
      </c>
      <c r="B12" t="str">
        <v>Net hutang sudah di kurangi kas</v>
      </c>
      <c r="C12" t="str">
        <v>Net Debt (Annual)</v>
      </c>
      <c r="D12" s="2">
        <f>IFERROR(INDEX(C51:C500,MATCH("Net Debt (Quarter)",$B$51:$B$500,0)),"")</f>
        <v>0</v>
      </c>
      <c r="H12" s="2">
        <f>IFERROR(INDEX(H51:H500,MATCH($C$12,$B$51:$B$500,0)),"")</f>
        <v>0</v>
      </c>
      <c r="I12" s="2">
        <f>IFERROR(INDEX(I51:I500,MATCH($C$12,$B$51:$B$500,0)),"")</f>
        <v>0</v>
      </c>
      <c r="J12" s="2">
        <f>IFERROR(INDEX(J51:J500,MATCH($C$12,$B$51:$B$500,0)),"")</f>
        <v>0</v>
      </c>
      <c r="K12" s="2">
        <f>IFERROR(INDEX(K51:K500,MATCH($C$12,$B$51:$B$500,0)),"")</f>
        <v>0</v>
      </c>
      <c r="L12" s="2">
        <f>IFERROR(INDEX(L51:L500,MATCH($C$12,$B$51:$B$500,0)),"")</f>
        <v>0</v>
      </c>
      <c r="M12" s="2">
        <f>IFERROR(INDEX(M51:M500,MATCH($C$12,$B$51:$B$500,0)),"")</f>
        <v>0</v>
      </c>
      <c r="N12" s="2">
        <f>IFERROR(INDEX(N51:N500,MATCH($C$12,$B$51:$B$500,0)),"")</f>
        <v>0</v>
      </c>
      <c r="O12" s="2">
        <f>IFERROR(INDEX(O51:O500,MATCH($C$12,$B$51:$B$500,0)),"")</f>
        <v>0</v>
      </c>
      <c r="P12" s="2">
        <f>IFERROR(INDEX(P51:P500,MATCH($C$12,$B$51:$B$500,0)),"")</f>
        <v>0</v>
      </c>
      <c r="Q12" s="2">
        <f>IFERROR(INDEX(Q51:Q500,MATCH($C$12,$B$51:$B$500,0)),"")</f>
        <v>0</v>
      </c>
      <c r="R12" s="2">
        <f>IFERROR(INDEX(R51:R500,MATCH($C$12,$B$51:$B$500,0)),"")</f>
        <v>0</v>
      </c>
      <c r="S12" s="2">
        <f>IFERROR(INDEX(S51:S500,MATCH($C$12,$B$51:$B$500,0)),"")</f>
        <v>0</v>
      </c>
      <c r="T12" s="2">
        <f>IFERROR(INDEX(T51:T500,MATCH($C$12,$B$51:$B$500,0)),"")</f>
        <v>0</v>
      </c>
      <c r="U12" s="2">
        <f>IFERROR(INDEX(U51:U500,MATCH($C$12,$B$51:$B$500,0)),"")</f>
        <v>0</v>
      </c>
      <c r="V12" s="2">
        <f>IFERROR(INDEX(V51:V500,MATCH($C$12,$B$51:$B$500,0)),"")</f>
        <v>0</v>
      </c>
      <c r="W12" s="2">
        <f>IFERROR(INDEX(W51:W500,MATCH($C$12,$B$51:$B$500,0)),"")</f>
        <v>0</v>
      </c>
      <c r="X12" s="2">
        <f>IFERROR(INDEX(X51:X500,MATCH($C$12,$B$51:$B$500,0)),"")</f>
        <v>0</v>
      </c>
      <c r="Y12" s="2">
        <f>IFERROR(INDEX(Y51:Y500,MATCH($C$12,$B$51:$B$500,0)),"")</f>
        <v>0</v>
      </c>
      <c r="Z12" s="2">
        <f>IFERROR(INDEX(Z51:Z500,MATCH($C$12,$B$51:$B$500,0)),"")</f>
        <v>0</v>
      </c>
    </row>
    <row r="13">
      <c r="A13" t="str">
        <v>Total Debt (Quarter)</v>
      </c>
      <c r="B13" t="str">
        <v>WACC</v>
      </c>
      <c r="C13" t="str">
        <v>Total Debt (Annual)</v>
      </c>
      <c r="D13" s="2">
        <f>IFERROR(INDEX(C51:C500,MATCH("Total Debt (Quarter)",$B$51:$B$500,0)),"")</f>
        <v>0</v>
      </c>
      <c r="H13" s="2">
        <f>IFERROR(INDEX(H51:H500,MATCH($C$13,$B$51:$B$500,0)),"")</f>
        <v>0</v>
      </c>
      <c r="I13" s="2">
        <f>IFERROR(INDEX(I51:I500,MATCH($C$13,$B$51:$B$500,0)),"")</f>
        <v>0</v>
      </c>
      <c r="J13" s="2">
        <f>IFERROR(INDEX(J51:J500,MATCH($C$13,$B$51:$B$500,0)),"")</f>
        <v>0</v>
      </c>
      <c r="K13" s="2">
        <f>IFERROR(INDEX(K51:K500,MATCH($C$13,$B$51:$B$500,0)),"")</f>
        <v>0</v>
      </c>
      <c r="L13" s="2">
        <f>IFERROR(INDEX(L51:L500,MATCH($C$13,$B$51:$B$500,0)),"")</f>
        <v>0</v>
      </c>
      <c r="M13" s="2">
        <f>IFERROR(INDEX(M51:M500,MATCH($C$13,$B$51:$B$500,0)),"")</f>
        <v>0</v>
      </c>
      <c r="N13" s="2">
        <f>IFERROR(INDEX(N51:N500,MATCH($C$13,$B$51:$B$500,0)),"")</f>
        <v>0</v>
      </c>
      <c r="O13" s="2">
        <f>IFERROR(INDEX(O51:O500,MATCH($C$13,$B$51:$B$500,0)),"")</f>
        <v>0</v>
      </c>
      <c r="P13" s="2">
        <f>IFERROR(INDEX(P51:P500,MATCH($C$13,$B$51:$B$500,0)),"")</f>
        <v>0</v>
      </c>
      <c r="Q13" s="2">
        <f>IFERROR(INDEX(Q51:Q500,MATCH($C$13,$B$51:$B$500,0)),"")</f>
        <v>0</v>
      </c>
      <c r="R13" s="2">
        <f>IFERROR(INDEX(R51:R500,MATCH($C$13,$B$51:$B$500,0)),"")</f>
        <v>0</v>
      </c>
      <c r="S13" s="2">
        <f>IFERROR(INDEX(S51:S500,MATCH($C$13,$B$51:$B$500,0)),"")</f>
        <v>0</v>
      </c>
      <c r="T13" s="2">
        <f>IFERROR(INDEX(T51:T500,MATCH($C$13,$B$51:$B$500,0)),"")</f>
        <v>0</v>
      </c>
      <c r="U13" s="2">
        <f>IFERROR(INDEX(U51:U500,MATCH($C$13,$B$51:$B$500,0)),"")</f>
        <v>0</v>
      </c>
      <c r="V13" s="2">
        <f>IFERROR(INDEX(V51:V500,MATCH($C$13,$B$51:$B$500,0)),"")</f>
        <v>0</v>
      </c>
      <c r="W13" s="2">
        <f>IFERROR(INDEX(W51:W500,MATCH($C$13,$B$51:$B$500,0)),"")</f>
        <v>0</v>
      </c>
      <c r="X13" s="2">
        <f>IFERROR(INDEX(X51:X500,MATCH($C$13,$B$51:$B$500,0)),"")</f>
        <v>0</v>
      </c>
      <c r="Y13" s="2">
        <f>IFERROR(INDEX(Y51:Y500,MATCH($C$13,$B$51:$B$500,0)),"")</f>
        <v>0</v>
      </c>
      <c r="Z13" s="2">
        <f>IFERROR(INDEX(Z51:Z500,MATCH($C$13,$B$51:$B$500,0)),"")</f>
        <v>0</v>
      </c>
    </row>
    <row r="14">
      <c r="C14" t="str">
        <v>Beban Keuangan</v>
      </c>
      <c r="D14" s="2">
        <f>IFERROR(INDEX(C51:C500,MATCH($C$14,$B$51:$B$500,0)),"")</f>
        <v>0</v>
      </c>
      <c r="H14" s="2">
        <f>IFERROR(SUM(D14:G14)*(4/MAX(1,COUNT(D14:G14))),=IFERROR(INDEX(H51:H500,MATCH($C$14,$B$51:$B$500,0)),""))</f>
        <v>0</v>
      </c>
      <c r="I14" s="2">
        <f>IFERROR(INDEX(I51:I500,MATCH($C$14,$B$51:$B$500,0)),"")</f>
        <v>0</v>
      </c>
      <c r="J14" s="2">
        <f>IFERROR(INDEX(J51:J500,MATCH($C$14,$B$51:$B$500,0)),"")</f>
        <v>0</v>
      </c>
      <c r="K14" s="2">
        <f>IFERROR(INDEX(K51:K500,MATCH($C$14,$B$51:$B$500,0)),"")</f>
        <v>0</v>
      </c>
      <c r="L14" s="2">
        <f>IFERROR(INDEX(L51:L500,MATCH($C$14,$B$51:$B$500,0)),"")</f>
        <v>0</v>
      </c>
      <c r="M14" s="2">
        <f>IFERROR(INDEX(M51:M500,MATCH($C$14,$B$51:$B$500,0)),"")</f>
        <v>0</v>
      </c>
      <c r="N14" s="2">
        <f>IFERROR(INDEX(N51:N500,MATCH($C$14,$B$51:$B$500,0)),"")</f>
        <v>0</v>
      </c>
      <c r="O14" s="2">
        <f>IFERROR(INDEX(O51:O500,MATCH($C$14,$B$51:$B$500,0)),"")</f>
        <v>0</v>
      </c>
      <c r="P14" s="2">
        <f>IFERROR(INDEX(P51:P500,MATCH($C$14,$B$51:$B$500,0)),"")</f>
        <v>0</v>
      </c>
      <c r="Q14" s="2">
        <f>IFERROR(INDEX(Q51:Q500,MATCH($C$14,$B$51:$B$500,0)),"")</f>
        <v>0</v>
      </c>
      <c r="R14" s="2">
        <f>IFERROR(INDEX(R51:R500,MATCH($C$14,$B$51:$B$500,0)),"")</f>
        <v>0</v>
      </c>
      <c r="S14" s="2">
        <f>IFERROR(INDEX(S51:S500,MATCH($C$14,$B$51:$B$500,0)),"")</f>
        <v>0</v>
      </c>
      <c r="T14" s="2">
        <f>IFERROR(INDEX(T51:T500,MATCH($C$14,$B$51:$B$500,0)),"")</f>
        <v>0</v>
      </c>
      <c r="U14" s="2">
        <f>IFERROR(INDEX(U51:U500,MATCH($C$14,$B$51:$B$500,0)),"")</f>
        <v>0</v>
      </c>
      <c r="V14" s="2">
        <f>IFERROR(INDEX(V51:V500,MATCH($C$14,$B$51:$B$500,0)),"")</f>
        <v>0</v>
      </c>
      <c r="W14" s="2">
        <f>IFERROR(INDEX(W51:W500,MATCH($C$14,$B$51:$B$500,0)),"")</f>
        <v>0</v>
      </c>
      <c r="X14" s="2">
        <f>IFERROR(INDEX(X51:X500,MATCH($C$14,$B$51:$B$500,0)),"")</f>
        <v>0</v>
      </c>
      <c r="Y14" s="2">
        <f>IFERROR(INDEX(Y51:Y500,MATCH($C$14,$B$51:$B$500,0)),"")</f>
        <v>0</v>
      </c>
      <c r="Z14" s="2">
        <f>IFERROR(INDEX(Z51:Z500,MATCH($C$14,$B$51:$B$500,0)),"")</f>
        <v>0</v>
      </c>
    </row>
    <row r="15">
      <c r="C15" t="str">
        <v>Beban Pajak Penghasilan</v>
      </c>
      <c r="D15" s="2">
        <f>IFERROR(INDEX(C51:C500,MATCH($C$15,$B$51:$B$500,0)),"")</f>
        <v>0</v>
      </c>
      <c r="H15" s="2">
        <f>IFERROR(SUM(D15:G15)*(4/MAX(1,COUNT(D15:G15))),=IFERROR(INDEX(H51:H500,MATCH($C$15,$B$51:$B$500,0)),""))</f>
        <v>0</v>
      </c>
      <c r="I15" s="2">
        <f>IFERROR(INDEX(I51:I500,MATCH($C$15,$B$51:$B$500,0)),"")</f>
        <v>0</v>
      </c>
      <c r="J15" s="2">
        <f>IFERROR(INDEX(J51:J500,MATCH($C$15,$B$51:$B$500,0)),"")</f>
        <v>0</v>
      </c>
      <c r="K15" s="2">
        <f>IFERROR(INDEX(K51:K500,MATCH($C$15,$B$51:$B$500,0)),"")</f>
        <v>0</v>
      </c>
      <c r="L15" s="2">
        <f>IFERROR(INDEX(L51:L500,MATCH($C$15,$B$51:$B$500,0)),"")</f>
        <v>0</v>
      </c>
      <c r="M15" s="2">
        <f>IFERROR(INDEX(M51:M500,MATCH($C$15,$B$51:$B$500,0)),"")</f>
        <v>0</v>
      </c>
      <c r="N15" s="2">
        <f>IFERROR(INDEX(N51:N500,MATCH($C$15,$B$51:$B$500,0)),"")</f>
        <v>0</v>
      </c>
      <c r="O15" s="2">
        <f>IFERROR(INDEX(O51:O500,MATCH($C$15,$B$51:$B$500,0)),"")</f>
        <v>0</v>
      </c>
      <c r="P15" s="2">
        <f>IFERROR(INDEX(P51:P500,MATCH($C$15,$B$51:$B$500,0)),"")</f>
        <v>0</v>
      </c>
      <c r="Q15" s="2">
        <f>IFERROR(INDEX(Q51:Q500,MATCH($C$15,$B$51:$B$500,0)),"")</f>
        <v>0</v>
      </c>
      <c r="R15" s="2">
        <f>IFERROR(INDEX(R51:R500,MATCH($C$15,$B$51:$B$500,0)),"")</f>
        <v>0</v>
      </c>
      <c r="S15" s="2">
        <f>IFERROR(INDEX(S51:S500,MATCH($C$15,$B$51:$B$500,0)),"")</f>
        <v>0</v>
      </c>
      <c r="T15" s="2">
        <f>IFERROR(INDEX(T51:T500,MATCH($C$15,$B$51:$B$500,0)),"")</f>
        <v>0</v>
      </c>
      <c r="U15" s="2">
        <f>IFERROR(INDEX(U51:U500,MATCH($C$15,$B$51:$B$500,0)),"")</f>
        <v>0</v>
      </c>
      <c r="V15" s="2">
        <f>IFERROR(INDEX(V51:V500,MATCH($C$15,$B$51:$B$500,0)),"")</f>
        <v>0</v>
      </c>
      <c r="W15" s="2">
        <f>IFERROR(INDEX(W51:W500,MATCH($C$15,$B$51:$B$500,0)),"")</f>
        <v>0</v>
      </c>
      <c r="X15" s="2">
        <f>IFERROR(INDEX(X51:X500,MATCH($C$15,$B$51:$B$500,0)),"")</f>
        <v>0</v>
      </c>
      <c r="Y15" s="2">
        <f>IFERROR(INDEX(Y51:Y500,MATCH($C$15,$B$51:$B$500,0)),"")</f>
        <v>0</v>
      </c>
      <c r="Z15" s="2">
        <f>IFERROR(INDEX(Z51:Z500,MATCH($C$15,$B$51:$B$500,0)),"")</f>
        <v>0</v>
      </c>
    </row>
    <row r="16">
      <c r="C16" t="str">
        <v>Laba Sebelum Pajak</v>
      </c>
      <c r="D16" s="2">
        <f>IFERROR(INDEX(C51:C500,MATCH($C$16,$B$51:$B$500,0)),"")</f>
        <v>0</v>
      </c>
      <c r="H16" s="2">
        <f>IFERROR(SUM(D16:G16)*(4/MAX(1,COUNT(D16:G16))),=IFERROR(INDEX(H51:H500,MATCH($C$16,$B$51:$B$500,0)),""))</f>
        <v>0</v>
      </c>
      <c r="I16" s="2">
        <f>IFERROR(INDEX(I51:I500,MATCH($C$16,$B$51:$B$500,0)),"")</f>
        <v>0</v>
      </c>
      <c r="J16" s="2">
        <f>IFERROR(INDEX(J51:J500,MATCH($C$16,$B$51:$B$500,0)),"")</f>
        <v>0</v>
      </c>
      <c r="K16" s="2">
        <f>IFERROR(INDEX(K51:K500,MATCH($C$16,$B$51:$B$500,0)),"")</f>
        <v>0</v>
      </c>
      <c r="L16" s="2">
        <f>IFERROR(INDEX(L51:L500,MATCH($C$16,$B$51:$B$500,0)),"")</f>
        <v>0</v>
      </c>
      <c r="M16" s="2">
        <f>IFERROR(INDEX(M51:M500,MATCH($C$16,$B$51:$B$500,0)),"")</f>
        <v>0</v>
      </c>
      <c r="N16" s="2">
        <f>IFERROR(INDEX(N51:N500,MATCH($C$16,$B$51:$B$500,0)),"")</f>
        <v>0</v>
      </c>
      <c r="O16" s="2">
        <f>IFERROR(INDEX(O51:O500,MATCH($C$16,$B$51:$B$500,0)),"")</f>
        <v>0</v>
      </c>
      <c r="P16" s="2">
        <f>IFERROR(INDEX(P51:P500,MATCH($C$16,$B$51:$B$500,0)),"")</f>
        <v>0</v>
      </c>
      <c r="Q16" s="2">
        <f>IFERROR(INDEX(Q51:Q500,MATCH($C$16,$B$51:$B$500,0)),"")</f>
        <v>0</v>
      </c>
      <c r="R16" s="2">
        <f>IFERROR(INDEX(R51:R500,MATCH($C$16,$B$51:$B$500,0)),"")</f>
        <v>0</v>
      </c>
      <c r="S16" s="2">
        <f>IFERROR(INDEX(S51:S500,MATCH($C$16,$B$51:$B$500,0)),"")</f>
        <v>0</v>
      </c>
      <c r="T16" s="2">
        <f>IFERROR(INDEX(T51:T500,MATCH($C$16,$B$51:$B$500,0)),"")</f>
        <v>0</v>
      </c>
      <c r="U16" s="2">
        <f>IFERROR(INDEX(U51:U500,MATCH($C$16,$B$51:$B$500,0)),"")</f>
        <v>0</v>
      </c>
      <c r="V16" s="2">
        <f>IFERROR(INDEX(V51:V500,MATCH($C$16,$B$51:$B$500,0)),"")</f>
        <v>0</v>
      </c>
      <c r="W16" s="2">
        <f>IFERROR(INDEX(W51:W500,MATCH($C$16,$B$51:$B$500,0)),"")</f>
        <v>0</v>
      </c>
      <c r="X16" s="2">
        <f>IFERROR(INDEX(X51:X500,MATCH($C$16,$B$51:$B$500,0)),"")</f>
        <v>0</v>
      </c>
      <c r="Y16" s="2">
        <f>IFERROR(INDEX(Y51:Y500,MATCH($C$16,$B$51:$B$500,0)),"")</f>
        <v>0</v>
      </c>
      <c r="Z16" s="2">
        <f>IFERROR(INDEX(Z51:Z500,MATCH($C$16,$B$51:$B$500,0)),"")</f>
        <v>0</v>
      </c>
    </row>
    <row r="17">
      <c r="A17" t="str">
        <v>Cara Membaca P/FCF</v>
      </c>
    </row>
    <row r="18">
      <c r="A18" t="str">
        <v>Rendah (misal &lt; 15)</v>
      </c>
      <c r="D18" t="str">
        <v>Q1</v>
      </c>
      <c r="H18" t="str">
        <v>tahun Berjalan</v>
      </c>
      <c r="I18" t="str">
        <v>12M 2024</v>
      </c>
      <c r="J18" t="str">
        <v>12M 2023</v>
      </c>
      <c r="K18" t="str">
        <v>12M 2022</v>
      </c>
      <c r="L18" t="str">
        <v>12M 2021</v>
      </c>
      <c r="M18" t="str">
        <v>12M 2020</v>
      </c>
      <c r="N18" t="str">
        <v>12M 2019</v>
      </c>
      <c r="O18" t="str">
        <v>12M 2018</v>
      </c>
      <c r="P18" t="str">
        <v>12M 2017</v>
      </c>
      <c r="Q18" t="str">
        <v>12M 2016</v>
      </c>
      <c r="R18" t="str">
        <v>12M 2015</v>
      </c>
      <c r="S18" t="str">
        <v>12M 2014</v>
      </c>
      <c r="T18" t="str">
        <v>12M 2013</v>
      </c>
      <c r="U18" t="str">
        <v>12M 2012</v>
      </c>
      <c r="V18" t="str">
        <v>12M 2011</v>
      </c>
      <c r="W18" t="str">
        <v>12M 2010</v>
      </c>
      <c r="X18" t="str">
        <v>12M 2009</v>
      </c>
      <c r="Y18" t="str">
        <v>12M 2008</v>
      </c>
      <c r="Z18" t="str">
        <v>12M 2007</v>
      </c>
    </row>
    <row r="19">
      <c r="A19" t="str">
        <v>Tinggi (misal &gt; 30)</v>
      </c>
      <c r="C19" t="str">
        <v>Dalam IDR</v>
      </c>
    </row>
    <row r="20">
      <c r="A20" t="str">
        <v>FCF negatif — perusahaan belum menghasilkan kas bebas</v>
      </c>
      <c r="C20" t="str">
        <v>Market Cap</v>
      </c>
      <c r="D20" s="2">
        <f>D21*D2</f>
        <v>0</v>
      </c>
      <c r="H20" s="2">
        <f>H21*H2</f>
        <v>0</v>
      </c>
      <c r="I20" s="2">
        <f>I21*I2</f>
        <v>0</v>
      </c>
      <c r="J20" s="2">
        <f>J21*J2</f>
        <v>0</v>
      </c>
      <c r="K20" s="2">
        <f>K21*K2</f>
        <v>0</v>
      </c>
      <c r="L20" s="2">
        <f>L21*L2</f>
        <v>0</v>
      </c>
      <c r="M20" s="2">
        <f>M21*M2</f>
        <v>0</v>
      </c>
      <c r="N20" s="2">
        <f>N21*N2</f>
        <v>0</v>
      </c>
      <c r="O20" s="2">
        <f>O21*O2</f>
        <v>0</v>
      </c>
      <c r="P20" s="2">
        <f>P21*P2</f>
        <v>0</v>
      </c>
      <c r="Q20" s="2">
        <f>Q21*Q2</f>
        <v>0</v>
      </c>
      <c r="R20" s="2">
        <f>R21*R2</f>
        <v>0</v>
      </c>
      <c r="S20" s="2">
        <f>S21*S2</f>
        <v>0</v>
      </c>
      <c r="T20" s="2">
        <f>T21*T2</f>
        <v>0</v>
      </c>
      <c r="U20" s="2">
        <f>U21*U2</f>
        <v>0</v>
      </c>
      <c r="V20" s="2">
        <f>V21*V2</f>
        <v>0</v>
      </c>
      <c r="W20" s="2">
        <f>W21*W2</f>
        <v>0</v>
      </c>
      <c r="X20" s="2">
        <f>X21*X2</f>
        <v>0</v>
      </c>
      <c r="Y20" s="2">
        <f>Y21*Y2</f>
        <v>0</v>
      </c>
      <c r="Z20" s="2">
        <f>Z21*Z2</f>
        <v>0</v>
      </c>
    </row>
    <row r="21">
      <c r="C21" t="str">
        <v>Share Outstanding</v>
      </c>
      <c r="D21" s="2">
        <f>IFERROR(INDEX(C51:C500,MATCH("Share Outstanding",$B$51:$B$500,0)),"")</f>
        <v>0</v>
      </c>
      <c r="H21" s="2">
        <f>IFERROR(INDEX(H51:H500,MATCH("Share Outstanding",$B$51:$B$500,0)),"")</f>
        <v>0</v>
      </c>
      <c r="I21" s="2">
        <f>IFERROR(INDEX(I51:I500,MATCH("Share Outstanding",$B$51:$B$500,0)),"")</f>
        <v>0</v>
      </c>
      <c r="J21" s="2">
        <f>IFERROR(INDEX(J51:J500,MATCH("Share Outstanding",$B$51:$B$500,0)),"")</f>
        <v>0</v>
      </c>
      <c r="K21" s="2">
        <f>IFERROR(INDEX(K51:K500,MATCH("Share Outstanding",$B$51:$B$500,0)),"")</f>
        <v>0</v>
      </c>
      <c r="L21" s="2">
        <f>IFERROR(INDEX(L51:L500,MATCH("Share Outstanding",$B$51:$B$500,0)),"")</f>
        <v>0</v>
      </c>
      <c r="M21" s="2">
        <f>IFERROR(INDEX(M51:M500,MATCH("Share Outstanding",$B$51:$B$500,0)),"")</f>
        <v>0</v>
      </c>
      <c r="N21" s="2">
        <f>IFERROR(INDEX(N51:N500,MATCH("Share Outstanding",$B$51:$B$500,0)),"")</f>
        <v>0</v>
      </c>
      <c r="O21" s="2">
        <f>IFERROR(INDEX(O51:O500,MATCH("Share Outstanding",$B$51:$B$500,0)),"")</f>
        <v>0</v>
      </c>
      <c r="P21" s="2">
        <f>IFERROR(INDEX(P51:P500,MATCH("Share Outstanding",$B$51:$B$500,0)),"")</f>
        <v>0</v>
      </c>
      <c r="Q21" s="2">
        <f>IFERROR(INDEX(Q51:Q500,MATCH("Share Outstanding",$B$51:$B$500,0)),"")</f>
        <v>0</v>
      </c>
      <c r="R21" s="2">
        <f>IFERROR(INDEX(R51:R500,MATCH("Share Outstanding",$B$51:$B$500,0)),"")</f>
        <v>0</v>
      </c>
      <c r="S21" s="2">
        <f>IFERROR(INDEX(S51:S500,MATCH("Share Outstanding",$B$51:$B$500,0)),"")</f>
        <v>0</v>
      </c>
      <c r="T21" s="2">
        <f>IFERROR(INDEX(T51:T500,MATCH("Share Outstanding",$B$51:$B$500,0)),"")</f>
        <v>0</v>
      </c>
      <c r="U21" s="2">
        <f>IFERROR(INDEX(U51:U500,MATCH("Share Outstanding",$B$51:$B$500,0)),"")</f>
        <v>0</v>
      </c>
      <c r="V21" s="2">
        <f>IFERROR(INDEX(V51:V500,MATCH("Share Outstanding",$B$51:$B$500,0)),"")</f>
        <v>0</v>
      </c>
      <c r="W21" s="2">
        <f>IFERROR(INDEX(W51:W500,MATCH("Share Outstanding",$B$51:$B$500,0)),"")</f>
        <v>0</v>
      </c>
      <c r="X21" s="2">
        <f>IFERROR(INDEX(X51:X500,MATCH("Share Outstanding",$B$51:$B$500,0)),"")</f>
        <v>0</v>
      </c>
      <c r="Y21" s="2">
        <f>IFERROR(INDEX(Y51:Y500,MATCH("Share Outstanding",$B$51:$B$500,0)),"")</f>
        <v>0</v>
      </c>
      <c r="Z21" s="2">
        <f>IFERROR(INDEX(Z51:Z500,MATCH("Share Outstanding",$B$51:$B$500,0)),"")</f>
        <v>0</v>
      </c>
    </row>
    <row r="23">
      <c r="B23" t="str">
        <v>MANUAL</v>
      </c>
      <c r="C23" t="str">
        <v>ROE</v>
      </c>
      <c r="D23" s="2">
        <f>IFERROR(D5/D6*100,"")</f>
        <v>0</v>
      </c>
      <c r="H23" s="2">
        <f>IFERROR(H5/H6*100,"")</f>
        <v>0</v>
      </c>
      <c r="I23" s="2">
        <f>IFERROR(I5/I6*100,"")</f>
        <v>0</v>
      </c>
      <c r="J23" s="2">
        <f>IFERROR(J5/J6*100,"")</f>
        <v>0</v>
      </c>
      <c r="K23" s="2">
        <f>IFERROR(K5/K6*100,"")</f>
        <v>0</v>
      </c>
      <c r="L23" s="2">
        <f>IFERROR(L5/L6*100,"")</f>
        <v>0</v>
      </c>
      <c r="M23" s="2">
        <f>IFERROR(M5/M6*100,"")</f>
        <v>0</v>
      </c>
      <c r="N23" s="2">
        <f>IFERROR(N5/N6*100,"")</f>
        <v>0</v>
      </c>
      <c r="O23" s="2">
        <f>IFERROR(O5/O6*100,"")</f>
        <v>0</v>
      </c>
      <c r="P23" s="2">
        <f>IFERROR(P5/P6*100,"")</f>
        <v>0</v>
      </c>
      <c r="Q23" s="2">
        <f>IFERROR(Q5/Q6*100,"")</f>
        <v>0</v>
      </c>
      <c r="R23" s="2">
        <f>IFERROR(R5/R6*100,"")</f>
        <v>0</v>
      </c>
      <c r="S23" s="2">
        <f>IFERROR(S5/S6*100,"")</f>
        <v>0</v>
      </c>
      <c r="T23" s="2">
        <f>IFERROR(T5/T6*100,"")</f>
        <v>0</v>
      </c>
      <c r="U23" s="2">
        <f>IFERROR(U5/U6*100,"")</f>
        <v>0</v>
      </c>
      <c r="V23" s="2">
        <f>IFERROR(V5/V6*100,"")</f>
        <v>0</v>
      </c>
      <c r="W23" s="2">
        <f>IFERROR(W5/W6*100,"")</f>
        <v>0</v>
      </c>
      <c r="X23" s="2">
        <f>IFERROR(X5/X6*100,"")</f>
        <v>0</v>
      </c>
      <c r="Y23" s="2">
        <f>IFERROR(Y5/Y6*100,"")</f>
        <v>0</v>
      </c>
      <c r="Z23" s="2">
        <f>IFERROR(Z5/Z6*100,"")</f>
        <v>0</v>
      </c>
    </row>
    <row r="24">
      <c r="C24" t="str">
        <v>ROE 5 Tahun</v>
      </c>
      <c r="D24" s="2">
        <f>IFERROR(RRI(5,I23,D23),"")</f>
        <v>0</v>
      </c>
      <c r="H24" s="2">
        <f>IFERROR(RRI(5,M23,H23),"")</f>
        <v>0</v>
      </c>
      <c r="I24" s="2">
        <f>IFERROR(RRI(5,N23,I23),"")</f>
        <v>0</v>
      </c>
      <c r="J24" s="2">
        <f>IFERROR(RRI(5,O23,J23),"")</f>
        <v>0</v>
      </c>
      <c r="K24" s="2">
        <f>IFERROR(RRI(5,P23,K23),"")</f>
        <v>0</v>
      </c>
      <c r="L24" s="2">
        <f>IFERROR(RRI(5,Q23,L23),"")</f>
        <v>0</v>
      </c>
      <c r="M24" s="2">
        <f>IFERROR(RRI(5,R23,M23),"")</f>
        <v>0</v>
      </c>
      <c r="N24" s="2">
        <f>IFERROR(RRI(5,S23,N23),"")</f>
        <v>0</v>
      </c>
      <c r="O24" s="2">
        <f>IFERROR(RRI(5,T23,O23),"")</f>
        <v>0</v>
      </c>
      <c r="P24" s="2">
        <f>IFERROR(RRI(5,U23,P23),"")</f>
        <v>0</v>
      </c>
      <c r="Q24" s="2">
        <f>IFERROR(RRI(5,V23,Q23),"")</f>
        <v>0</v>
      </c>
      <c r="R24" s="2">
        <f>IFERROR(RRI(5,W23,R23),"")</f>
        <v>0</v>
      </c>
      <c r="S24" s="2">
        <f>IFERROR(RRI(5,X23,S23),"")</f>
        <v>0</v>
      </c>
      <c r="T24" s="2">
        <f>IFERROR(RRI(5,Y23,T23),"")</f>
        <v>0</v>
      </c>
      <c r="U24" s="2">
        <f>IFERROR(RRI(5,Z23,U23),"")</f>
        <v>0</v>
      </c>
      <c r="V24" s="2">
        <f>IFERROR(RRI(5,AA23,V23),"")</f>
        <v>0</v>
      </c>
      <c r="W24" s="2">
        <f>IFERROR(RRI(5,AB23,W23),"")</f>
        <v>0</v>
      </c>
      <c r="X24" s="2">
        <f>IFERROR(RRI(5,AC23,X23),"")</f>
        <v>0</v>
      </c>
      <c r="Y24" s="2">
        <f>IFERROR(RRI(5,AD23,Y23),"")</f>
        <v>0</v>
      </c>
      <c r="Z24" s="2">
        <f>IFERROR(RRI(5,AE23,Z23),"")</f>
        <v>0</v>
      </c>
    </row>
    <row r="25">
      <c r="A25" t="str">
        <v>EPS</v>
      </c>
      <c r="C25" t="str">
        <v>EPS (Annual)</v>
      </c>
      <c r="D25" s="2">
        <f>IFERROR(INDEX(C51:C500,MATCH($A$25,$B$51:$B$500,0)),"")</f>
        <v>0</v>
      </c>
      <c r="H25" s="2">
        <f>IFERROR(INDEX(H51:H500,MATCH($C$25,$B$51:$B$500,0)),"")</f>
        <v>0</v>
      </c>
      <c r="I25" s="2">
        <f>IFERROR(INDEX(I51:I500,MATCH($C$25,$B$51:$B$500,0)),"")</f>
        <v>0</v>
      </c>
      <c r="J25" s="2">
        <f>IFERROR(INDEX(J51:J500,MATCH($C$25,$B$51:$B$500,0)),"")</f>
        <v>0</v>
      </c>
      <c r="K25" s="2">
        <f>IFERROR(INDEX(K51:K500,MATCH($C$25,$B$51:$B$500,0)),"")</f>
        <v>0</v>
      </c>
      <c r="L25" s="2">
        <f>IFERROR(INDEX(L51:L500,MATCH($C$25,$B$51:$B$500,0)),"")</f>
        <v>0</v>
      </c>
      <c r="M25" s="2">
        <f>IFERROR(INDEX(M51:M500,MATCH($C$25,$B$51:$B$500,0)),"")</f>
        <v>0</v>
      </c>
      <c r="N25" s="2">
        <f>IFERROR(INDEX(N51:N500,MATCH($C$25,$B$51:$B$500,0)),"")</f>
        <v>0</v>
      </c>
      <c r="O25" s="2">
        <f>IFERROR(INDEX(O51:O500,MATCH($C$25,$B$51:$B$500,0)),"")</f>
        <v>0</v>
      </c>
      <c r="P25" s="2">
        <f>IFERROR(INDEX(P51:P500,MATCH($C$25,$B$51:$B$500,0)),"")</f>
        <v>0</v>
      </c>
      <c r="Q25" s="2">
        <f>IFERROR(INDEX(Q51:Q500,MATCH($C$25,$B$51:$B$500,0)),"")</f>
        <v>0</v>
      </c>
      <c r="R25" s="2">
        <f>IFERROR(INDEX(R51:R500,MATCH($C$25,$B$51:$B$500,0)),"")</f>
        <v>0</v>
      </c>
      <c r="S25" s="2">
        <f>IFERROR(INDEX(S51:S500,MATCH($C$25,$B$51:$B$500,0)),"")</f>
        <v>0</v>
      </c>
      <c r="T25" s="2">
        <f>IFERROR(INDEX(T51:T500,MATCH($C$25,$B$51:$B$500,0)),"")</f>
        <v>0</v>
      </c>
      <c r="U25" s="2">
        <f>IFERROR(INDEX(U51:U500,MATCH($C$25,$B$51:$B$500,0)),"")</f>
        <v>0</v>
      </c>
      <c r="V25" s="2">
        <f>IFERROR(INDEX(V51:V500,MATCH($C$25,$B$51:$B$500,0)),"")</f>
        <v>0</v>
      </c>
      <c r="W25" s="2">
        <f>IFERROR(INDEX(W51:W500,MATCH($C$25,$B$51:$B$500,0)),"")</f>
        <v>0</v>
      </c>
      <c r="X25" s="2">
        <f>IFERROR(INDEX(X51:X500,MATCH($C$25,$B$51:$B$500,0)),"")</f>
        <v>0</v>
      </c>
      <c r="Y25" s="2">
        <f>IFERROR(INDEX(Y51:Y500,MATCH($C$25,$B$51:$B$500,0)),"")</f>
        <v>0</v>
      </c>
      <c r="Z25" s="2">
        <f>IFERROR(INDEX(Z51:Z500,MATCH($C$25,$B$51:$B$500,0)),"")</f>
        <v>0</v>
      </c>
    </row>
    <row r="26">
      <c r="C26" t="str">
        <v>EPS Growth 5 Tahun</v>
      </c>
      <c r="D26" s="2">
        <f>IFERROR(RRI(5,I25,D25),"")</f>
        <v>0</v>
      </c>
      <c r="H26" s="2">
        <f>IFERROR(RRI(5,M25,H25),"")</f>
        <v>0</v>
      </c>
      <c r="I26" s="2">
        <f>IFERROR(RRI(5,N25,I25),"")</f>
        <v>0</v>
      </c>
      <c r="J26" s="2">
        <f>IFERROR(RRI(5,O25,J25),"")</f>
        <v>0</v>
      </c>
      <c r="K26" s="2">
        <f>IFERROR(RRI(5,P25,K25),"")</f>
        <v>0</v>
      </c>
      <c r="L26" s="2">
        <f>IFERROR(RRI(5,Q25,L25),"")</f>
        <v>0</v>
      </c>
      <c r="M26" s="2">
        <f>IFERROR(RRI(5,R25,M25),"")</f>
        <v>0</v>
      </c>
      <c r="N26" s="2">
        <f>IFERROR(RRI(5,S25,N25),"")</f>
        <v>0</v>
      </c>
      <c r="O26" s="2">
        <f>IFERROR(RRI(5,T25,O25),"")</f>
        <v>0</v>
      </c>
      <c r="P26" s="2">
        <f>IFERROR(RRI(5,U25,P25),"")</f>
        <v>0</v>
      </c>
      <c r="Q26" s="2">
        <f>IFERROR(RRI(5,V25,Q25),"")</f>
        <v>0</v>
      </c>
      <c r="R26" s="2">
        <f>IFERROR(RRI(5,W25,R25),"")</f>
        <v>0</v>
      </c>
      <c r="S26" s="2">
        <f>IFERROR(RRI(5,X25,S25),"")</f>
        <v>0</v>
      </c>
      <c r="T26" s="2">
        <f>IFERROR(RRI(5,Y25,T25),"")</f>
        <v>0</v>
      </c>
      <c r="U26" s="2">
        <f>IFERROR(RRI(5,Z25,U25),"")</f>
        <v>0</v>
      </c>
      <c r="V26" s="2">
        <f>IFERROR(RRI(5,AA25,V25),"")</f>
        <v>0</v>
      </c>
      <c r="W26" s="2">
        <f>IFERROR(RRI(5,AB25,W25),"")</f>
        <v>0</v>
      </c>
      <c r="X26" s="2">
        <f>IFERROR(RRI(5,AC25,X25),"")</f>
        <v>0</v>
      </c>
      <c r="Y26" s="2">
        <f>IFERROR(RRI(5,AD25,Y25),"")</f>
        <v>0</v>
      </c>
      <c r="Z26" s="2">
        <f>IFERROR(RRI(5,AE25,Z25),"")</f>
        <v>0</v>
      </c>
    </row>
    <row r="27">
      <c r="C27" t="str">
        <v>SPS</v>
      </c>
      <c r="D27" s="2">
        <f>IFERROR(D4/D21,"")</f>
        <v>0</v>
      </c>
      <c r="H27" s="2">
        <f>IFERROR(H4/H21,"")</f>
        <v>0</v>
      </c>
      <c r="I27" s="2">
        <f>IFERROR(I4/I21,"")</f>
        <v>0</v>
      </c>
      <c r="J27" s="2">
        <f>IFERROR(J4/J21,"")</f>
        <v>0</v>
      </c>
      <c r="K27" s="2">
        <f>IFERROR(K4/K21,"")</f>
        <v>0</v>
      </c>
      <c r="L27" s="2">
        <f>IFERROR(L4/L21,"")</f>
        <v>0</v>
      </c>
      <c r="M27" s="2">
        <f>IFERROR(M4/M21,"")</f>
        <v>0</v>
      </c>
      <c r="N27" s="2">
        <f>IFERROR(N4/N21,"")</f>
        <v>0</v>
      </c>
      <c r="O27" s="2">
        <f>IFERROR(O4/O21,"")</f>
        <v>0</v>
      </c>
      <c r="P27" s="2">
        <f>IFERROR(P4/P21,"")</f>
        <v>0</v>
      </c>
      <c r="Q27" s="2">
        <f>IFERROR(Q4/Q21,"")</f>
        <v>0</v>
      </c>
      <c r="R27" s="2">
        <f>IFERROR(R4/R21,"")</f>
        <v>0</v>
      </c>
      <c r="S27" s="2">
        <f>IFERROR(S4/S21,"")</f>
        <v>0</v>
      </c>
      <c r="T27" s="2">
        <f>IFERROR(T4/T21,"")</f>
        <v>0</v>
      </c>
      <c r="U27" s="2">
        <f>IFERROR(U4/U21,"")</f>
        <v>0</v>
      </c>
      <c r="V27" s="2">
        <f>IFERROR(V4/V21,"")</f>
        <v>0</v>
      </c>
      <c r="W27" s="2">
        <f>IFERROR(W4/W21,"")</f>
        <v>0</v>
      </c>
      <c r="X27" s="2">
        <f>IFERROR(X4/X21,"")</f>
        <v>0</v>
      </c>
      <c r="Y27" s="2">
        <f>IFERROR(Y4/Y21,"")</f>
        <v>0</v>
      </c>
      <c r="Z27" s="2">
        <f>IFERROR(Z4/Z21,"")</f>
        <v>0</v>
      </c>
    </row>
    <row r="28">
      <c r="C28" t="str">
        <v>SPS Growth 5 Tahun</v>
      </c>
      <c r="D28" s="2">
        <f>IFERROR(RRI(5,I27,D27),"")</f>
        <v>0</v>
      </c>
      <c r="H28" s="2">
        <f>IFERROR(RRI(5,M27,H27),"")</f>
        <v>0</v>
      </c>
      <c r="I28" s="2">
        <f>IFERROR(RRI(5,N27,I27),"")</f>
        <v>0</v>
      </c>
      <c r="J28" s="2">
        <f>IFERROR(RRI(5,O27,J27),"")</f>
        <v>0</v>
      </c>
      <c r="K28" s="2">
        <f>IFERROR(RRI(5,P27,K27),"")</f>
        <v>0</v>
      </c>
      <c r="L28" s="2">
        <f>IFERROR(RRI(5,Q27,L27),"")</f>
        <v>0</v>
      </c>
      <c r="M28" s="2">
        <f>IFERROR(RRI(5,R27,M27),"")</f>
        <v>0</v>
      </c>
      <c r="N28" s="2">
        <f>IFERROR(RRI(5,S27,N27),"")</f>
        <v>0</v>
      </c>
      <c r="O28" s="2">
        <f>IFERROR(RRI(5,T27,O27),"")</f>
        <v>0</v>
      </c>
      <c r="P28" s="2">
        <f>IFERROR(RRI(5,U27,P27),"")</f>
        <v>0</v>
      </c>
      <c r="Q28" s="2">
        <f>IFERROR(RRI(5,V27,Q27),"")</f>
        <v>0</v>
      </c>
      <c r="R28" s="2">
        <f>IFERROR(RRI(5,W27,R27),"")</f>
        <v>0</v>
      </c>
      <c r="S28" s="2">
        <f>IFERROR(RRI(5,X27,S27),"")</f>
        <v>0</v>
      </c>
      <c r="T28" s="2">
        <f>IFERROR(RRI(5,Y27,T27),"")</f>
        <v>0</v>
      </c>
      <c r="U28" s="2">
        <f>IFERROR(RRI(5,Z27,U27),"")</f>
        <v>0</v>
      </c>
      <c r="V28" s="2">
        <f>IFERROR(RRI(5,AA27,V27),"")</f>
        <v>0</v>
      </c>
      <c r="W28" s="2">
        <f>IFERROR(RRI(5,AB27,W27),"")</f>
        <v>0</v>
      </c>
      <c r="X28" s="2">
        <f>IFERROR(RRI(5,AC27,X27),"")</f>
        <v>0</v>
      </c>
      <c r="Y28" s="2">
        <f>IFERROR(RRI(5,AD27,Y27),"")</f>
        <v>0</v>
      </c>
      <c r="Z28" s="2">
        <f>IFERROR(RRI(5,AE27,Z27),"")</f>
        <v>0</v>
      </c>
    </row>
    <row r="32">
      <c r="A32" t="str">
        <v>Book Value Per Share (quarter)</v>
      </c>
      <c r="B32" t="str">
        <v>Book Value</v>
      </c>
      <c r="C32" t="str">
        <v>Book Value Per Share (Annual)</v>
      </c>
      <c r="D32" s="2">
        <f>IFERROR(INDEX(C51:C500,MATCH($A$32,$B$51:$B$500,0)),"")</f>
        <v>0</v>
      </c>
      <c r="H32" s="2">
        <f>IFERROR(INDEX(H51:H500,MATCH($C$32,$B$51:$B$500,0)),"")</f>
        <v>0</v>
      </c>
      <c r="I32" s="2">
        <f>IFERROR(INDEX(I51:I500,MATCH($C$32,$B$51:$B$500,0)),"")</f>
        <v>0</v>
      </c>
      <c r="J32" s="2">
        <f>IFERROR(INDEX(J51:J500,MATCH($C$32,$B$51:$B$500,0)),"")</f>
        <v>0</v>
      </c>
      <c r="K32" s="2">
        <f>IFERROR(INDEX(K51:K500,MATCH($C$32,$B$51:$B$500,0)),"")</f>
        <v>0</v>
      </c>
      <c r="L32" s="2">
        <f>IFERROR(INDEX(L51:L500,MATCH($C$32,$B$51:$B$500,0)),"")</f>
        <v>0</v>
      </c>
      <c r="M32" s="2">
        <f>IFERROR(INDEX(M51:M500,MATCH($C$32,$B$51:$B$500,0)),"")</f>
        <v>0</v>
      </c>
      <c r="N32" s="2">
        <f>IFERROR(INDEX(N51:N500,MATCH($C$32,$B$51:$B$500,0)),"")</f>
        <v>0</v>
      </c>
      <c r="O32" s="2">
        <f>IFERROR(INDEX(O51:O500,MATCH($C$32,$B$51:$B$500,0)),"")</f>
        <v>0</v>
      </c>
      <c r="P32" s="2">
        <f>IFERROR(INDEX(P51:P500,MATCH($C$32,$B$51:$B$500,0)),"")</f>
        <v>0</v>
      </c>
      <c r="Q32" s="2">
        <f>IFERROR(INDEX(Q51:Q500,MATCH($C$32,$B$51:$B$500,0)),"")</f>
        <v>0</v>
      </c>
      <c r="R32" s="2">
        <f>IFERROR(INDEX(R51:R500,MATCH($C$32,$B$51:$B$500,0)),"")</f>
        <v>0</v>
      </c>
      <c r="S32" s="2">
        <f>IFERROR(INDEX(S51:S500,MATCH($C$32,$B$51:$B$500,0)),"")</f>
        <v>0</v>
      </c>
      <c r="T32" s="2">
        <f>IFERROR(INDEX(T51:T500,MATCH($C$32,$B$51:$B$500,0)),"")</f>
        <v>0</v>
      </c>
      <c r="U32" s="2">
        <f>IFERROR(INDEX(U51:U500,MATCH($C$32,$B$51:$B$500,0)),"")</f>
        <v>0</v>
      </c>
      <c r="V32" s="2">
        <f>IFERROR(INDEX(V51:V500,MATCH($C$32,$B$51:$B$500,0)),"")</f>
        <v>0</v>
      </c>
      <c r="W32" s="2">
        <f>IFERROR(INDEX(W51:W500,MATCH($C$32,$B$51:$B$500,0)),"")</f>
        <v>0</v>
      </c>
      <c r="X32" s="2">
        <f>IFERROR(INDEX(X51:X500,MATCH($C$32,$B$51:$B$500,0)),"")</f>
        <v>0</v>
      </c>
      <c r="Y32" s="2">
        <f>IFERROR(INDEX(Y51:Y500,MATCH($C$32,$B$51:$B$500,0)),"")</f>
        <v>0</v>
      </c>
      <c r="Z32" s="2">
        <f>IFERROR(INDEX(Z51:Z500,MATCH($C$32,$B$51:$B$500,0)),"")</f>
        <v>0</v>
      </c>
    </row>
    <row r="33">
      <c r="A33" t="str">
        <v>Price to Book Value (quarter)</v>
      </c>
      <c r="B33" t="str">
        <v>PBV</v>
      </c>
      <c r="C33" t="str">
        <v>Price to Book Value (Annual)</v>
      </c>
      <c r="D33" s="2">
        <f>IFERROR(INDEX(C51:C500,MATCH($A$33,$B$51:$B$500,0)),"")</f>
        <v>0</v>
      </c>
      <c r="H33" s="2">
        <f>IFERROR(INDEX(H51:H500,MATCH($C$33,$B$51:$B$500,0)),"")</f>
        <v>0</v>
      </c>
      <c r="I33" s="2">
        <f>IFERROR(INDEX(I51:I500,MATCH($C$33,$B$51:$B$500,0)),"")</f>
        <v>0</v>
      </c>
      <c r="J33" s="2">
        <f>IFERROR(INDEX(J51:J500,MATCH($C$33,$B$51:$B$500,0)),"")</f>
        <v>0</v>
      </c>
      <c r="K33" s="2">
        <f>IFERROR(INDEX(K51:K500,MATCH($C$33,$B$51:$B$500,0)),"")</f>
        <v>0</v>
      </c>
      <c r="L33" s="2">
        <f>IFERROR(INDEX(L51:L500,MATCH($C$33,$B$51:$B$500,0)),"")</f>
        <v>0</v>
      </c>
      <c r="M33" s="2">
        <f>IFERROR(INDEX(M51:M500,MATCH($C$33,$B$51:$B$500,0)),"")</f>
        <v>0</v>
      </c>
      <c r="N33" s="2">
        <f>IFERROR(INDEX(N51:N500,MATCH($C$33,$B$51:$B$500,0)),"")</f>
        <v>0</v>
      </c>
      <c r="O33" s="2">
        <f>IFERROR(INDEX(O51:O500,MATCH($C$33,$B$51:$B$500,0)),"")</f>
        <v>0</v>
      </c>
      <c r="P33" s="2">
        <f>IFERROR(INDEX(P51:P500,MATCH($C$33,$B$51:$B$500,0)),"")</f>
        <v>0</v>
      </c>
      <c r="Q33" s="2">
        <f>IFERROR(INDEX(Q51:Q500,MATCH($C$33,$B$51:$B$500,0)),"")</f>
        <v>0</v>
      </c>
      <c r="R33" s="2">
        <f>IFERROR(INDEX(R51:R500,MATCH($C$33,$B$51:$B$500,0)),"")</f>
        <v>0</v>
      </c>
      <c r="S33" s="2">
        <f>IFERROR(INDEX(S51:S500,MATCH($C$33,$B$51:$B$500,0)),"")</f>
        <v>0</v>
      </c>
      <c r="T33" s="2">
        <f>IFERROR(INDEX(T51:T500,MATCH($C$33,$B$51:$B$500,0)),"")</f>
        <v>0</v>
      </c>
      <c r="U33" s="2">
        <f>IFERROR(INDEX(U51:U500,MATCH($C$33,$B$51:$B$500,0)),"")</f>
        <v>0</v>
      </c>
      <c r="V33" s="2">
        <f>IFERROR(INDEX(V51:V500,MATCH($C$33,$B$51:$B$500,0)),"")</f>
        <v>0</v>
      </c>
      <c r="W33" s="2">
        <f>IFERROR(INDEX(W51:W500,MATCH($C$33,$B$51:$B$500,0)),"")</f>
        <v>0</v>
      </c>
      <c r="X33" s="2">
        <f>IFERROR(INDEX(X51:X500,MATCH($C$33,$B$51:$B$500,0)),"")</f>
        <v>0</v>
      </c>
      <c r="Y33" s="2">
        <f>IFERROR(INDEX(Y51:Y500,MATCH($C$33,$B$51:$B$500,0)),"")</f>
        <v>0</v>
      </c>
      <c r="Z33" s="2">
        <f>IFERROR(INDEX(Z51:Z500,MATCH($C$33,$B$51:$B$500,0)),"")</f>
        <v>0</v>
      </c>
    </row>
    <row r="34">
      <c r="A34" t="str">
        <v>PE Ratio (quarter)</v>
      </c>
      <c r="B34" t="str">
        <v>PER</v>
      </c>
      <c r="C34" t="str">
        <v>PE Ratio (Annual)</v>
      </c>
      <c r="D34" s="2">
        <f>IFERROR(INDEX(C51:C500,MATCH($A$34,$B$51:$B$500,0)),"")</f>
        <v>0</v>
      </c>
      <c r="H34" s="2">
        <f>IFERROR(INDEX(H51:H500,MATCH($C$34,$B$51:$B$500,0)),"")</f>
        <v>0</v>
      </c>
      <c r="I34" s="2">
        <f>IFERROR(INDEX(I51:I500,MATCH($C$34,$B$51:$B$500,0)),"")</f>
        <v>0</v>
      </c>
      <c r="J34" s="2">
        <f>IFERROR(INDEX(J51:J500,MATCH($C$34,$B$51:$B$500,0)),"")</f>
        <v>0</v>
      </c>
      <c r="K34" s="2">
        <f>IFERROR(INDEX(K51:K500,MATCH($C$34,$B$51:$B$500,0)),"")</f>
        <v>0</v>
      </c>
      <c r="L34" s="2">
        <f>IFERROR(INDEX(L51:L500,MATCH($C$34,$B$51:$B$500,0)),"")</f>
        <v>0</v>
      </c>
      <c r="M34" s="2">
        <f>IFERROR(INDEX(M51:M500,MATCH($C$34,$B$51:$B$500,0)),"")</f>
        <v>0</v>
      </c>
      <c r="N34" s="2">
        <f>IFERROR(INDEX(N51:N500,MATCH($C$34,$B$51:$B$500,0)),"")</f>
        <v>0</v>
      </c>
      <c r="O34" s="2">
        <f>IFERROR(INDEX(O51:O500,MATCH($C$34,$B$51:$B$500,0)),"")</f>
        <v>0</v>
      </c>
      <c r="P34" s="2">
        <f>IFERROR(INDEX(P51:P500,MATCH($C$34,$B$51:$B$500,0)),"")</f>
        <v>0</v>
      </c>
      <c r="Q34" s="2">
        <f>IFERROR(INDEX(Q51:Q500,MATCH($C$34,$B$51:$B$500,0)),"")</f>
        <v>0</v>
      </c>
      <c r="R34" s="2">
        <f>IFERROR(INDEX(R51:R500,MATCH($C$34,$B$51:$B$500,0)),"")</f>
        <v>0</v>
      </c>
      <c r="S34" s="2">
        <f>IFERROR(INDEX(S51:S500,MATCH($C$34,$B$51:$B$500,0)),"")</f>
        <v>0</v>
      </c>
      <c r="T34" s="2">
        <f>IFERROR(INDEX(T51:T500,MATCH($C$34,$B$51:$B$500,0)),"")</f>
        <v>0</v>
      </c>
      <c r="U34" s="2">
        <f>IFERROR(INDEX(U51:U500,MATCH($C$34,$B$51:$B$500,0)),"")</f>
        <v>0</v>
      </c>
      <c r="V34" s="2">
        <f>IFERROR(INDEX(V51:V500,MATCH($C$34,$B$51:$B$500,0)),"")</f>
        <v>0</v>
      </c>
      <c r="W34" s="2">
        <f>IFERROR(INDEX(W51:W500,MATCH($C$34,$B$51:$B$500,0)),"")</f>
        <v>0</v>
      </c>
      <c r="X34" s="2">
        <f>IFERROR(INDEX(X51:X500,MATCH($C$34,$B$51:$B$500,0)),"")</f>
        <v>0</v>
      </c>
      <c r="Y34" s="2">
        <f>IFERROR(INDEX(Y51:Y500,MATCH($C$34,$B$51:$B$500,0)),"")</f>
        <v>0</v>
      </c>
      <c r="Z34" s="2">
        <f>IFERROR(INDEX(Z51:Z500,MATCH($C$34,$B$51:$B$500,0)),"")</f>
        <v>0</v>
      </c>
    </row>
    <row r="35">
      <c r="A35" t="str">
        <v>Price to Sales (Quarter)</v>
      </c>
      <c r="B35" t="str">
        <v>PSR</v>
      </c>
      <c r="C35" t="str">
        <v>Price to Sales (Annual)</v>
      </c>
      <c r="D35" s="2">
        <f>IFERROR(INDEX(C51:C500,MATCH($A$35,$B$51:$B$500,0)),"")</f>
        <v>0</v>
      </c>
      <c r="H35" s="2">
        <f>IFERROR(INDEX(H51:H500,MATCH($C$35,$B$51:$B$500,0)),"")</f>
        <v>0</v>
      </c>
      <c r="I35" s="2">
        <f>IFERROR(INDEX(I51:I500,MATCH($C$35,$B$51:$B$500,0)),"")</f>
        <v>0</v>
      </c>
      <c r="J35" s="2">
        <f>IFERROR(INDEX(J51:J500,MATCH($C$35,$B$51:$B$500,0)),"")</f>
        <v>0</v>
      </c>
      <c r="K35" s="2">
        <f>IFERROR(INDEX(K51:K500,MATCH($C$35,$B$51:$B$500,0)),"")</f>
        <v>0</v>
      </c>
      <c r="L35" s="2">
        <f>IFERROR(INDEX(L51:L500,MATCH($C$35,$B$51:$B$500,0)),"")</f>
        <v>0</v>
      </c>
      <c r="M35" s="2">
        <f>IFERROR(INDEX(M51:M500,MATCH($C$35,$B$51:$B$500,0)),"")</f>
        <v>0</v>
      </c>
      <c r="N35" s="2">
        <f>IFERROR(INDEX(N51:N500,MATCH($C$35,$B$51:$B$500,0)),"")</f>
        <v>0</v>
      </c>
      <c r="O35" s="2">
        <f>IFERROR(INDEX(O51:O500,MATCH($C$35,$B$51:$B$500,0)),"")</f>
        <v>0</v>
      </c>
      <c r="P35" s="2">
        <f>IFERROR(INDEX(P51:P500,MATCH($C$35,$B$51:$B$500,0)),"")</f>
        <v>0</v>
      </c>
      <c r="Q35" s="2">
        <f>IFERROR(INDEX(Q51:Q500,MATCH($C$35,$B$51:$B$500,0)),"")</f>
        <v>0</v>
      </c>
      <c r="R35" s="2">
        <f>IFERROR(INDEX(R51:R500,MATCH($C$35,$B$51:$B$500,0)),"")</f>
        <v>0</v>
      </c>
      <c r="S35" s="2">
        <f>IFERROR(INDEX(S51:S500,MATCH($C$35,$B$51:$B$500,0)),"")</f>
        <v>0</v>
      </c>
      <c r="T35" s="2">
        <f>IFERROR(INDEX(T51:T500,MATCH($C$35,$B$51:$B$500,0)),"")</f>
        <v>0</v>
      </c>
      <c r="U35" s="2">
        <f>IFERROR(INDEX(U51:U500,MATCH($C$35,$B$51:$B$500,0)),"")</f>
        <v>0</v>
      </c>
      <c r="V35" s="2">
        <f>IFERROR(INDEX(V51:V500,MATCH($C$35,$B$51:$B$500,0)),"")</f>
        <v>0</v>
      </c>
      <c r="W35" s="2">
        <f>IFERROR(INDEX(W51:W500,MATCH($C$35,$B$51:$B$500,0)),"")</f>
        <v>0</v>
      </c>
      <c r="X35" s="2">
        <f>IFERROR(INDEX(X51:X500,MATCH($C$35,$B$51:$B$500,0)),"")</f>
        <v>0</v>
      </c>
      <c r="Y35" s="2">
        <f>IFERROR(INDEX(Y51:Y500,MATCH($C$35,$B$51:$B$500,0)),"")</f>
        <v>0</v>
      </c>
      <c r="Z35" s="2">
        <f>IFERROR(INDEX(Z51:Z500,MATCH($C$35,$B$51:$B$500,0)),"")</f>
        <v>0</v>
      </c>
    </row>
    <row r="36">
      <c r="B36" t="str">
        <v>DPR</v>
      </c>
      <c r="C36" t="str">
        <v>Net Income - Payout Ratio</v>
      </c>
      <c r="D36" s="2">
        <f>IFERROR(INDEX(D51:D500,MATCH($C$36,$B$51:$B$500,0)),"")</f>
        <v>0</v>
      </c>
      <c r="H36" s="2">
        <f>IFERROR(INDEX(H51:H500,MATCH($C$36,$B$51:$B$500,0)),"")</f>
        <v>0</v>
      </c>
      <c r="I36" s="2">
        <f>IFERROR(INDEX(I51:I500,MATCH($C$36,$B$51:$B$500,0)),"")</f>
        <v>0</v>
      </c>
      <c r="J36" s="2">
        <f>IFERROR(INDEX(J51:J500,MATCH($C$36,$B$51:$B$500,0)),"")</f>
        <v>0</v>
      </c>
      <c r="K36" s="2">
        <f>IFERROR(INDEX(K51:K500,MATCH($C$36,$B$51:$B$500,0)),"")</f>
        <v>0</v>
      </c>
      <c r="L36" s="2">
        <f>IFERROR(INDEX(L51:L500,MATCH($C$36,$B$51:$B$500,0)),"")</f>
        <v>0</v>
      </c>
      <c r="M36" s="2">
        <f>IFERROR(INDEX(M51:M500,MATCH($C$36,$B$51:$B$500,0)),"")</f>
        <v>0</v>
      </c>
      <c r="N36" s="2">
        <f>IFERROR(INDEX(N51:N500,MATCH($C$36,$B$51:$B$500,0)),"")</f>
        <v>0</v>
      </c>
      <c r="O36" s="2">
        <f>IFERROR(INDEX(O51:O500,MATCH($C$36,$B$51:$B$500,0)),"")</f>
        <v>0</v>
      </c>
      <c r="P36" s="2">
        <f>IFERROR(INDEX(P51:P500,MATCH($C$36,$B$51:$B$500,0)),"")</f>
        <v>0</v>
      </c>
      <c r="Q36" s="2">
        <f>IFERROR(INDEX(Q51:Q500,MATCH($C$36,$B$51:$B$500,0)),"")</f>
        <v>0</v>
      </c>
      <c r="R36" s="2">
        <f>IFERROR(INDEX(R51:R500,MATCH($C$36,$B$51:$B$500,0)),"")</f>
        <v>0</v>
      </c>
      <c r="S36" s="2">
        <f>IFERROR(INDEX(S51:S500,MATCH($C$36,$B$51:$B$500,0)),"")</f>
        <v>0</v>
      </c>
      <c r="T36" s="2">
        <f>IFERROR(INDEX(T51:T500,MATCH($C$36,$B$51:$B$500,0)),"")</f>
        <v>0</v>
      </c>
      <c r="U36" s="2">
        <f>IFERROR(INDEX(U51:U500,MATCH($C$36,$B$51:$B$500,0)),"")</f>
        <v>0</v>
      </c>
      <c r="V36" s="2">
        <f>IFERROR(INDEX(V51:V500,MATCH($C$36,$B$51:$B$500,0)),"")</f>
        <v>0</v>
      </c>
      <c r="W36" s="2">
        <f>IFERROR(INDEX(W51:W500,MATCH($C$36,$B$51:$B$500,0)),"")</f>
        <v>0</v>
      </c>
      <c r="X36" s="2">
        <f>IFERROR(INDEX(X51:X500,MATCH($C$36,$B$51:$B$500,0)),"")</f>
        <v>0</v>
      </c>
      <c r="Y36" s="2">
        <f>IFERROR(INDEX(Y51:Y500,MATCH($C$36,$B$51:$B$500,0)),"")</f>
        <v>0</v>
      </c>
      <c r="Z36" s="2">
        <f>IFERROR(INDEX(Z51:Z500,MATCH($C$36,$B$51:$B$500,0)),"")</f>
        <v>0</v>
      </c>
    </row>
    <row r="37">
      <c r="B37" t="str">
        <v>DPS</v>
      </c>
      <c r="C37" t="str">
        <v>EPS - Div (TTM)</v>
      </c>
      <c r="D37" s="2">
        <f>IFERROR(INDEX(D51:D500,MATCH($C$37,$B$51:$B$500,0)),"")</f>
        <v>0</v>
      </c>
      <c r="H37" s="2">
        <f>IFERROR(INDEX(H51:H500,MATCH($C$37,$B$51:$B$500,0)),"")</f>
        <v>0</v>
      </c>
      <c r="I37" s="2">
        <f>IFERROR(INDEX(I51:I500,MATCH($C$37,$B$51:$B$500,0)),"")</f>
        <v>0</v>
      </c>
      <c r="J37" s="2">
        <f>IFERROR(INDEX(J51:J500,MATCH($C$37,$B$51:$B$500,0)),"")</f>
        <v>0</v>
      </c>
      <c r="K37" s="2">
        <f>IFERROR(INDEX(K51:K500,MATCH($C$37,$B$51:$B$500,0)),"")</f>
        <v>0</v>
      </c>
      <c r="L37" s="2">
        <f>IFERROR(INDEX(L51:L500,MATCH($C$37,$B$51:$B$500,0)),"")</f>
        <v>0</v>
      </c>
      <c r="M37" s="2">
        <f>IFERROR(INDEX(M51:M500,MATCH($C$37,$B$51:$B$500,0)),"")</f>
        <v>0</v>
      </c>
      <c r="N37" s="2">
        <f>IFERROR(INDEX(N51:N500,MATCH($C$37,$B$51:$B$500,0)),"")</f>
        <v>0</v>
      </c>
      <c r="O37" s="2">
        <f>IFERROR(INDEX(O51:O500,MATCH($C$37,$B$51:$B$500,0)),"")</f>
        <v>0</v>
      </c>
      <c r="P37" s="2">
        <f>IFERROR(INDEX(P51:P500,MATCH($C$37,$B$51:$B$500,0)),"")</f>
        <v>0</v>
      </c>
      <c r="Q37" s="2">
        <f>IFERROR(INDEX(Q51:Q500,MATCH($C$37,$B$51:$B$500,0)),"")</f>
        <v>0</v>
      </c>
      <c r="R37" s="2">
        <f>IFERROR(INDEX(R51:R500,MATCH($C$37,$B$51:$B$500,0)),"")</f>
        <v>0</v>
      </c>
      <c r="S37" s="2">
        <f>IFERROR(INDEX(S51:S500,MATCH($C$37,$B$51:$B$500,0)),"")</f>
        <v>0</v>
      </c>
      <c r="T37" s="2">
        <f>IFERROR(INDEX(T51:T500,MATCH($C$37,$B$51:$B$500,0)),"")</f>
        <v>0</v>
      </c>
      <c r="U37" s="2">
        <f>IFERROR(INDEX(U51:U500,MATCH($C$37,$B$51:$B$500,0)),"")</f>
        <v>0</v>
      </c>
      <c r="V37" s="2">
        <f>IFERROR(INDEX(V51:V500,MATCH($C$37,$B$51:$B$500,0)),"")</f>
        <v>0</v>
      </c>
      <c r="W37" s="2">
        <f>IFERROR(INDEX(W51:W500,MATCH($C$37,$B$51:$B$500,0)),"")</f>
        <v>0</v>
      </c>
      <c r="X37" s="2">
        <f>IFERROR(INDEX(X51:X500,MATCH($C$37,$B$51:$B$500,0)),"")</f>
        <v>0</v>
      </c>
      <c r="Y37" s="2">
        <f>IFERROR(INDEX(Y51:Y500,MATCH($C$37,$B$51:$B$500,0)),"")</f>
        <v>0</v>
      </c>
      <c r="Z37" s="2">
        <f>IFERROR(INDEX(Z51:Z500,MATCH($C$37,$B$51:$B$500,0)),"")</f>
        <v>0</v>
      </c>
    </row>
    <row r="51">
      <c r="C51" t="str">
        <v>Q1 2026</v>
      </c>
      <c r="D51" t="str">
        <v>Q4 2025</v>
      </c>
      <c r="E51" t="str">
        <v>Q3 2025</v>
      </c>
      <c r="F51" t="str">
        <v>Q2 2025</v>
      </c>
      <c r="G51" t="str">
        <v>2026</v>
      </c>
      <c r="H51" t="str">
        <v>12M 2025</v>
      </c>
      <c r="I51" t="str">
        <v>12M 2024</v>
      </c>
      <c r="J51" t="str">
        <v>12M 2023</v>
      </c>
      <c r="K51" t="str">
        <v>12M 2022</v>
      </c>
      <c r="L51" t="str">
        <v>12M 2021</v>
      </c>
      <c r="M51" t="str">
        <v>12M 2020</v>
      </c>
      <c r="N51" t="str">
        <v>12M 2019</v>
      </c>
      <c r="O51" t="str">
        <v>12M 2018</v>
      </c>
      <c r="P51" t="str">
        <v>12M 2017</v>
      </c>
      <c r="Q51" t="str">
        <v>12M 2016</v>
      </c>
      <c r="R51" t="str">
        <v>12M 2015</v>
      </c>
      <c r="S51" t="str">
        <v>12M 2014</v>
      </c>
      <c r="T51" t="str">
        <v>12M 2013</v>
      </c>
      <c r="U51" t="str">
        <v>12M 2012</v>
      </c>
      <c r="V51" t="str">
        <v>12M 2011</v>
      </c>
      <c r="W51" t="str">
        <v>12M 2010</v>
      </c>
      <c r="X51" t="str">
        <v>12M 2009</v>
      </c>
      <c r="Y51" t="str">
        <v>12M 2008</v>
      </c>
    </row>
    <row r="52">
      <c r="A52" t="str">
        <v>Income Statement</v>
      </c>
      <c r="B52" t="str">
        <v>Total Pendapatan</v>
      </c>
      <c r="C52" s="2">
        <v>29323338000000</v>
      </c>
      <c r="D52" s="2">
        <v>12614315000000</v>
      </c>
      <c r="E52" s="2">
        <v>13008399000000</v>
      </c>
      <c r="F52" s="2">
        <v>32868024000000</v>
      </c>
      <c r="H52" s="2">
        <v>84642439000000</v>
      </c>
      <c r="I52" s="2">
        <v>69192440000000</v>
      </c>
      <c r="J52" s="2">
        <v>41047693000000</v>
      </c>
      <c r="K52" s="2">
        <v>45930356000000</v>
      </c>
      <c r="L52" s="2">
        <v>38445595000000</v>
      </c>
      <c r="M52" s="2">
        <v>27372461091000</v>
      </c>
      <c r="N52" s="2">
        <v>32718542699000</v>
      </c>
      <c r="O52" s="2">
        <v>25241268367000</v>
      </c>
      <c r="P52" s="2">
        <v>12653619205000</v>
      </c>
      <c r="Q52" s="2">
        <v>9106260754000</v>
      </c>
      <c r="R52" s="2">
        <v>10531504802000</v>
      </c>
      <c r="S52" s="2">
        <v>9420630933000</v>
      </c>
      <c r="T52" s="2">
        <v>11298321506000</v>
      </c>
      <c r="U52" s="2">
        <v>10449885512000</v>
      </c>
      <c r="V52" s="2">
        <v>10346433404000</v>
      </c>
      <c r="W52" s="2">
        <v>8744300219000</v>
      </c>
      <c r="X52" s="2">
        <v>8711370255000</v>
      </c>
      <c r="Y52" s="2">
        <v>9591981138000</v>
      </c>
    </row>
    <row r="53">
      <c r="B53" t="str">
        <v>Total Beban Pokok Penjualan</v>
      </c>
      <c r="C53" s="2">
        <v>-23706590000000</v>
      </c>
      <c r="D53" s="2">
        <v>-9917120000000</v>
      </c>
      <c r="E53" s="2">
        <v>-10261910000000</v>
      </c>
      <c r="F53" s="2">
        <v>-28266773000000</v>
      </c>
      <c r="H53" s="2">
        <v>-70961090000000</v>
      </c>
      <c r="I53" s="2">
        <v>-62694143000000</v>
      </c>
      <c r="J53" s="2">
        <v>-34733015000000</v>
      </c>
      <c r="K53" s="2">
        <v>-37719837000000</v>
      </c>
      <c r="L53" s="2">
        <v>-32086534000000</v>
      </c>
      <c r="M53" s="2">
        <v>-22896684435000</v>
      </c>
      <c r="N53" s="2">
        <v>-28271386345000</v>
      </c>
      <c r="O53" s="2">
        <v>-21764832184000</v>
      </c>
      <c r="P53" s="2">
        <v>-11009726759000</v>
      </c>
      <c r="Q53" s="2">
        <v>-8254466187000</v>
      </c>
      <c r="R53" s="2">
        <v>-10336364157000</v>
      </c>
      <c r="S53" s="2">
        <v>-8644136017000</v>
      </c>
      <c r="T53" s="2">
        <v>-9682520825000</v>
      </c>
      <c r="U53" s="2">
        <v>-8427157554000</v>
      </c>
      <c r="V53" s="2">
        <v>-7318735238000</v>
      </c>
      <c r="W53" s="2">
        <v>-5807220162000</v>
      </c>
      <c r="X53" s="2">
        <v>-7513371858000</v>
      </c>
      <c r="Y53" s="2">
        <v>-6940796904000</v>
      </c>
    </row>
    <row r="54">
      <c r="B54" t="str">
        <v>Laba Kotor</v>
      </c>
      <c r="C54" s="2">
        <v>5616748000000</v>
      </c>
      <c r="D54" s="2">
        <v>2697195000000</v>
      </c>
      <c r="E54" s="2">
        <v>2746489000000</v>
      </c>
      <c r="F54" s="2">
        <v>4601251000000</v>
      </c>
      <c r="H54" s="2">
        <v>13681349000000</v>
      </c>
      <c r="I54" s="2">
        <v>6498297000000</v>
      </c>
      <c r="J54" s="2">
        <v>6314678000000</v>
      </c>
      <c r="K54" s="2">
        <v>8210519000000</v>
      </c>
      <c r="L54" s="2">
        <v>6359061000000</v>
      </c>
      <c r="M54" s="2">
        <v>4475776656000</v>
      </c>
      <c r="N54" s="2">
        <v>4447156354000</v>
      </c>
      <c r="O54" s="2">
        <v>3476436183000</v>
      </c>
      <c r="P54" s="2">
        <v>1643892446000</v>
      </c>
      <c r="Q54" s="2">
        <v>851794567000</v>
      </c>
      <c r="R54" s="2">
        <v>195140645000</v>
      </c>
      <c r="S54" s="2">
        <v>776494916000</v>
      </c>
      <c r="T54" s="2">
        <v>1615800681000</v>
      </c>
      <c r="U54" s="2">
        <v>2022727958000</v>
      </c>
      <c r="V54" s="2">
        <v>3027698166000</v>
      </c>
      <c r="W54" s="2">
        <v>2937080057000</v>
      </c>
      <c r="X54" s="2">
        <v>1197998397000</v>
      </c>
      <c r="Y54" s="2">
        <v>2651184234000</v>
      </c>
    </row>
    <row r="55">
      <c r="B55" t="str">
        <v>Total Beban Usaha</v>
      </c>
      <c r="C55" s="2">
        <v>-1113789000000</v>
      </c>
      <c r="D55" s="2">
        <v>-2189878000000</v>
      </c>
      <c r="E55" s="2">
        <v>-996379000000</v>
      </c>
      <c r="F55" s="2">
        <v>-1154946000000</v>
      </c>
      <c r="H55" s="2">
        <v>-5286319000000</v>
      </c>
      <c r="I55" s="2">
        <v>-3500344000000</v>
      </c>
      <c r="J55" s="2">
        <v>-3697784000000</v>
      </c>
      <c r="K55" s="2">
        <v>-4268648000000</v>
      </c>
      <c r="L55" s="2">
        <v>-3620917000000</v>
      </c>
      <c r="M55" s="2">
        <v>-2443473812000</v>
      </c>
      <c r="N55" s="2">
        <v>-3491541536000</v>
      </c>
      <c r="O55" s="2">
        <v>-1623707332000</v>
      </c>
      <c r="P55" s="2">
        <v>-1043286128000</v>
      </c>
      <c r="Q55" s="2">
        <v>-843638508000</v>
      </c>
      <c r="R55" s="2">
        <v>-896579167000</v>
      </c>
      <c r="S55" s="2">
        <v>-955899898000</v>
      </c>
      <c r="T55" s="2">
        <v>-1194768989000</v>
      </c>
      <c r="U55" s="2">
        <v>-1126863902000</v>
      </c>
      <c r="V55" s="2">
        <v>-1014819741000</v>
      </c>
      <c r="W55" s="2">
        <v>-990544014000</v>
      </c>
      <c r="X55" s="2">
        <v>-610477292000</v>
      </c>
      <c r="Y55" s="2">
        <v>-937888223000</v>
      </c>
    </row>
    <row r="56">
      <c r="B56" t="str">
        <v>Beban Umum Dan Administra...</v>
      </c>
      <c r="C56" s="2">
        <v>-666753000000</v>
      </c>
      <c r="D56" s="2">
        <v>-1579914000000</v>
      </c>
      <c r="E56" s="2">
        <v>-719826000000</v>
      </c>
      <c r="F56" s="2">
        <v>-694182000000</v>
      </c>
      <c r="H56" s="2">
        <v>-3575923000000</v>
      </c>
      <c r="I56" s="2">
        <v>-2898333000000</v>
      </c>
      <c r="J56" s="2">
        <v>-2863958000000</v>
      </c>
      <c r="K56" s="2">
        <v>-3351019000000</v>
      </c>
      <c r="L56" s="2">
        <v>-2542548000000</v>
      </c>
      <c r="M56" s="2">
        <v>-1910403835000</v>
      </c>
      <c r="N56" s="2">
        <v>-2047135504000</v>
      </c>
      <c r="O56" s="2">
        <v>-1091989469000</v>
      </c>
      <c r="P56" s="2">
        <v>-794369050000</v>
      </c>
      <c r="Q56" s="2">
        <v>-707278248000</v>
      </c>
      <c r="R56" s="2">
        <v>-776280373000</v>
      </c>
      <c r="S56" s="2">
        <v>-809171729000</v>
      </c>
      <c r="T56" s="2">
        <v>-953439884000</v>
      </c>
      <c r="U56" s="2">
        <v>-857209800000</v>
      </c>
      <c r="V56" s="2">
        <v>-783757736000</v>
      </c>
      <c r="W56" s="2">
        <v>-756993203000</v>
      </c>
      <c r="X56" s="2">
        <v>-468182753000</v>
      </c>
      <c r="Y56" s="2">
        <v>-650963574000</v>
      </c>
    </row>
    <row r="57">
      <c r="B57" t="str">
        <v>Beban Penjualan</v>
      </c>
      <c r="C57" s="2">
        <v>-447036000000</v>
      </c>
      <c r="D57" s="2">
        <v>-609964000000</v>
      </c>
      <c r="E57" s="2">
        <v>-276553000000</v>
      </c>
      <c r="F57" s="2">
        <v>-460764000000</v>
      </c>
      <c r="H57" s="2">
        <v>-1710396000000</v>
      </c>
      <c r="I57" s="2">
        <v>-602011000000</v>
      </c>
      <c r="J57" s="2">
        <v>-833826000000</v>
      </c>
      <c r="K57" s="2">
        <v>-917629000000</v>
      </c>
      <c r="L57" s="2">
        <v>-1078369000000</v>
      </c>
      <c r="M57" s="2">
        <v>-533069977000</v>
      </c>
      <c r="N57" s="2">
        <v>-1444406032000</v>
      </c>
      <c r="O57" s="2">
        <v>-531717863000</v>
      </c>
      <c r="P57" s="2">
        <v>-248917078000</v>
      </c>
      <c r="Q57" s="2">
        <v>-136360260000</v>
      </c>
      <c r="R57" s="2">
        <v>-120298794000</v>
      </c>
      <c r="S57" s="2">
        <v>-146728169000</v>
      </c>
      <c r="T57" s="2">
        <v>-160967042000</v>
      </c>
      <c r="U57" s="2">
        <v>-179218327000</v>
      </c>
      <c r="V57" s="2">
        <v>-133786186000</v>
      </c>
      <c r="W57" s="2">
        <v>-104269787000</v>
      </c>
      <c r="X57" s="2">
        <v>-77877295000</v>
      </c>
      <c r="Y57" s="2">
        <v>-150775271000</v>
      </c>
    </row>
    <row r="58">
      <c r="B58" t="str">
        <v>Beban Eksplorasi</v>
      </c>
      <c r="T58" s="2">
        <v>-80362063000</v>
      </c>
      <c r="U58" s="2">
        <v>-90435775000</v>
      </c>
      <c r="V58" s="2">
        <v>-97275819000</v>
      </c>
      <c r="W58" s="2">
        <v>-129281024000</v>
      </c>
      <c r="X58" s="2">
        <v>-64417244000</v>
      </c>
      <c r="Y58" s="2">
        <v>-136149378000</v>
      </c>
    </row>
    <row r="59">
      <c r="B59" t="str">
        <v>Laba Usaha</v>
      </c>
      <c r="C59" s="2">
        <v>4502959000000</v>
      </c>
      <c r="D59" s="2">
        <v>507317000000</v>
      </c>
      <c r="E59" s="2">
        <v>1750110000000</v>
      </c>
      <c r="F59" s="2">
        <v>3446305000000</v>
      </c>
      <c r="H59" s="2">
        <v>8395030000000</v>
      </c>
      <c r="I59" s="2">
        <v>2997953000000</v>
      </c>
      <c r="J59" s="2">
        <v>2616894000000</v>
      </c>
      <c r="K59" s="2">
        <v>3941871000000</v>
      </c>
      <c r="L59" s="2">
        <v>2738144000000</v>
      </c>
      <c r="M59" s="2">
        <v>2032302844000</v>
      </c>
      <c r="N59" s="2">
        <v>955614818000</v>
      </c>
      <c r="O59" s="2">
        <v>1852728851000</v>
      </c>
      <c r="P59" s="2">
        <v>600606318000</v>
      </c>
      <c r="Q59" s="2">
        <v>8156059000</v>
      </c>
      <c r="R59" s="2">
        <v>-701438522000</v>
      </c>
      <c r="S59" s="2">
        <v>-179404982000</v>
      </c>
      <c r="T59" s="2">
        <v>421031692000</v>
      </c>
      <c r="U59" s="2">
        <v>895864056000</v>
      </c>
      <c r="V59" s="2">
        <v>2012878425000</v>
      </c>
      <c r="W59" s="2">
        <v>1946536043000</v>
      </c>
      <c r="X59" s="2">
        <v>587521105000</v>
      </c>
      <c r="Y59" s="2">
        <v>1713296011000</v>
      </c>
    </row>
    <row r="60">
      <c r="B60" t="str">
        <v>Penghasilan/Beban Lain-Lain</v>
      </c>
      <c r="C60" s="2">
        <v>279604000000</v>
      </c>
      <c r="D60" s="2">
        <v>793363000000</v>
      </c>
      <c r="E60" s="2">
        <v>163313000000</v>
      </c>
      <c r="F60" s="2">
        <v>151778000000</v>
      </c>
      <c r="H60" s="2">
        <v>1352097000000</v>
      </c>
      <c r="I60" s="2">
        <v>1615690000000</v>
      </c>
      <c r="J60" s="2">
        <v>1237587000000</v>
      </c>
      <c r="K60" s="2">
        <v>1272900000000</v>
      </c>
      <c r="L60" s="2">
        <v>305365000000</v>
      </c>
      <c r="M60" s="2">
        <v>-391124832000</v>
      </c>
      <c r="N60" s="2">
        <v>-268580765000</v>
      </c>
      <c r="O60" s="2">
        <v>-587227045000</v>
      </c>
      <c r="P60" s="2">
        <v>-146209794000</v>
      </c>
      <c r="Q60" s="2">
        <v>229135536000</v>
      </c>
      <c r="R60" s="2">
        <v>-967335402000</v>
      </c>
      <c r="S60" s="2">
        <v>-653729835000</v>
      </c>
      <c r="T60" s="2">
        <v>-553962092000</v>
      </c>
      <c r="U60" s="2">
        <v>2999631005000</v>
      </c>
      <c r="V60" s="2">
        <v>555902960000</v>
      </c>
      <c r="W60" s="2">
        <v>326087641000</v>
      </c>
      <c r="X60" s="2">
        <v>196496637000</v>
      </c>
      <c r="Y60" s="2">
        <v>202457027000</v>
      </c>
    </row>
    <row r="61">
      <c r="B61" t="str">
        <v>Bagian Atas Hasil Bersih ...</v>
      </c>
      <c r="C61" s="2">
        <v>205352000000</v>
      </c>
      <c r="D61" s="2">
        <v>42617000000</v>
      </c>
      <c r="E61" s="2">
        <v>-28310000000</v>
      </c>
      <c r="F61" s="2">
        <v>116810000000</v>
      </c>
      <c r="H61" s="2">
        <v>182650000000</v>
      </c>
      <c r="I61" s="2">
        <v>689710000000</v>
      </c>
      <c r="J61" s="2">
        <v>947017000000</v>
      </c>
      <c r="K61" s="2">
        <v>931107000000</v>
      </c>
      <c r="L61" s="2">
        <v>452624000000</v>
      </c>
      <c r="M61" s="2">
        <v>128509006000</v>
      </c>
      <c r="N61" s="2">
        <v>-88099410000</v>
      </c>
      <c r="O61" s="2">
        <v>-520228547000</v>
      </c>
      <c r="P61" s="2">
        <v>-488268854000</v>
      </c>
      <c r="Q61" s="2">
        <v>-281813472000</v>
      </c>
      <c r="R61" s="2">
        <v>-496574736000</v>
      </c>
      <c r="S61" s="2">
        <v>-370552808000</v>
      </c>
      <c r="T61" s="2">
        <v>-181009979000</v>
      </c>
      <c r="U61" s="2">
        <v>115099172000</v>
      </c>
      <c r="V61" s="2">
        <v>-26152056000</v>
      </c>
      <c r="W61" s="2">
        <v>-1756758000</v>
      </c>
      <c r="X61" s="2">
        <v>-1771248000</v>
      </c>
      <c r="Y61" s="2">
        <v>29931362000</v>
      </c>
    </row>
    <row r="62">
      <c r="B62" t="str">
        <v>Pendapatan Keuangan</v>
      </c>
      <c r="C62" s="2">
        <v>92358000000</v>
      </c>
      <c r="D62" s="2">
        <v>78961000000</v>
      </c>
      <c r="E62" s="2">
        <v>95884000000</v>
      </c>
      <c r="F62" s="2">
        <v>140599000000</v>
      </c>
      <c r="H62" s="2">
        <v>414393000000</v>
      </c>
      <c r="I62" s="2">
        <v>492333000000</v>
      </c>
      <c r="J62" s="2">
        <v>172182000000</v>
      </c>
      <c r="K62" s="2">
        <v>85299000000</v>
      </c>
      <c r="L62" s="2">
        <v>89738000000</v>
      </c>
      <c r="M62" s="2">
        <v>110379694000</v>
      </c>
      <c r="N62" s="2">
        <v>120446161000</v>
      </c>
      <c r="O62" s="2">
        <v>163547193000</v>
      </c>
      <c r="P62" s="2">
        <v>259842315000</v>
      </c>
      <c r="Q62" s="2">
        <v>343190135000</v>
      </c>
      <c r="R62" s="2">
        <v>73214891000</v>
      </c>
      <c r="S62" s="2">
        <v>68664556000</v>
      </c>
      <c r="T62" s="2">
        <v>85316381000</v>
      </c>
      <c r="U62" s="2">
        <v>166069157000</v>
      </c>
      <c r="V62" s="2">
        <v>74152626000</v>
      </c>
      <c r="W62" s="2">
        <v>58315889000</v>
      </c>
      <c r="X62" s="2">
        <v>151196066000</v>
      </c>
      <c r="Y62" s="2">
        <v>178548866000</v>
      </c>
    </row>
    <row r="63">
      <c r="B63" t="str">
        <v>Laba (Rugi) Selisih Kurs</v>
      </c>
      <c r="C63" s="2">
        <v>79730000000</v>
      </c>
      <c r="D63" s="2">
        <v>-18074000000</v>
      </c>
      <c r="E63" s="2">
        <v>153503000000</v>
      </c>
      <c r="F63" s="2">
        <v>-98063000000</v>
      </c>
      <c r="H63" s="2">
        <v>135519000000</v>
      </c>
      <c r="I63" s="2">
        <v>469427000000</v>
      </c>
      <c r="J63" s="2">
        <v>-221372000000</v>
      </c>
      <c r="K63" s="2">
        <v>563790000000</v>
      </c>
      <c r="L63" s="2">
        <v>60599000000</v>
      </c>
      <c r="M63" s="2">
        <v>-134409334000</v>
      </c>
      <c r="N63" s="2">
        <v>-235718069000</v>
      </c>
      <c r="U63" s="2">
        <v>176306896000</v>
      </c>
      <c r="V63" s="2">
        <v>-64560639000</v>
      </c>
      <c r="W63" s="2">
        <v>-122740175000</v>
      </c>
      <c r="X63" s="2">
        <v>-287086019000</v>
      </c>
      <c r="Y63" s="2">
        <v>-217635384000</v>
      </c>
    </row>
    <row r="64">
      <c r="B64" t="str">
        <v>Beban Keuangan</v>
      </c>
      <c r="C64" s="2">
        <v>-107769000000</v>
      </c>
      <c r="D64" s="2">
        <v>-63425000000</v>
      </c>
      <c r="E64" s="2">
        <v>-63216000000</v>
      </c>
      <c r="F64" s="2">
        <v>-17465000000</v>
      </c>
      <c r="H64" s="2">
        <v>-167100000000</v>
      </c>
      <c r="I64" s="2">
        <v>-237136000000</v>
      </c>
      <c r="J64" s="2">
        <v>-215144000000</v>
      </c>
      <c r="K64" s="2">
        <v>-381088000000</v>
      </c>
      <c r="L64" s="2">
        <v>-359094000000</v>
      </c>
      <c r="M64" s="2">
        <v>-565451837000</v>
      </c>
      <c r="N64" s="2">
        <v>-233360576000</v>
      </c>
      <c r="O64" s="2">
        <v>-554331857000</v>
      </c>
      <c r="P64" s="2">
        <v>-607685684000</v>
      </c>
      <c r="Q64" s="2">
        <v>-319273938000</v>
      </c>
      <c r="R64" s="2">
        <v>-246021355000</v>
      </c>
      <c r="S64" s="2">
        <v>-126552132000</v>
      </c>
      <c r="T64" s="2">
        <v>-60660045000</v>
      </c>
      <c r="U64" s="2">
        <v>-234500820000</v>
      </c>
      <c r="V64" s="2">
        <v>-22723138000</v>
      </c>
      <c r="W64" s="2">
        <v>-12651557000</v>
      </c>
      <c r="X64" s="2">
        <v>-47049683000</v>
      </c>
      <c r="Y64" s="2">
        <v>-50346415000</v>
      </c>
    </row>
    <row r="65">
      <c r="B65" t="str">
        <v>Others</v>
      </c>
      <c r="C65" s="2">
        <v>257329000000</v>
      </c>
      <c r="D65" s="2">
        <v>73953000000</v>
      </c>
      <c r="E65" s="2">
        <v>190527000000</v>
      </c>
      <c r="F65" s="2">
        <v>254838000000</v>
      </c>
      <c r="H65" s="2">
        <v>711581000000</v>
      </c>
      <c r="I65" s="2">
        <v>205008000000</v>
      </c>
      <c r="J65" s="2">
        <v>2000000</v>
      </c>
      <c r="K65" s="2">
        <v>-1000000</v>
      </c>
      <c r="L65" s="2">
        <v>-3000000</v>
      </c>
      <c r="M65" s="2">
        <v>890000</v>
      </c>
      <c r="N65" s="2">
        <v>884000</v>
      </c>
      <c r="O65" s="2">
        <v>1563000</v>
      </c>
      <c r="P65" s="2">
        <v>-3513000</v>
      </c>
      <c r="Q65" s="2">
        <v>-4137000</v>
      </c>
      <c r="R65" s="2">
        <v>-1101000</v>
      </c>
      <c r="S65" s="2">
        <v>544000</v>
      </c>
      <c r="T65" s="2">
        <v>3254000</v>
      </c>
      <c r="U65" s="2">
        <v>749000</v>
      </c>
      <c r="V65" s="2">
        <v>2449000</v>
      </c>
    </row>
    <row r="66">
      <c r="B66" t="str">
        <v>Total Penghasilan/Beban Lain-...</v>
      </c>
      <c r="C66" s="2">
        <v>279604000000</v>
      </c>
      <c r="D66" s="2">
        <v>793363000000</v>
      </c>
      <c r="E66" s="2">
        <v>163313000000</v>
      </c>
      <c r="F66" s="2">
        <v>151778000000</v>
      </c>
      <c r="H66" s="2">
        <v>1352097000000</v>
      </c>
      <c r="I66" s="2">
        <v>1615690000000</v>
      </c>
      <c r="J66" s="2">
        <v>1237587000000</v>
      </c>
      <c r="K66" s="2">
        <v>1272900000000</v>
      </c>
      <c r="L66" s="2">
        <v>305365000000</v>
      </c>
      <c r="M66" s="2">
        <v>-391124832000</v>
      </c>
      <c r="N66" s="2">
        <v>-268580765000</v>
      </c>
      <c r="O66" s="2">
        <v>-587227045000</v>
      </c>
      <c r="P66" s="2">
        <v>-146209794000</v>
      </c>
      <c r="Q66" s="2">
        <v>229135536000</v>
      </c>
      <c r="R66" s="2">
        <v>-967335402000</v>
      </c>
      <c r="S66" s="2">
        <v>-653729835000</v>
      </c>
      <c r="T66" s="2">
        <v>-553962092000</v>
      </c>
      <c r="U66" s="2">
        <v>2999631005000</v>
      </c>
      <c r="V66" s="2">
        <v>555902960000</v>
      </c>
      <c r="W66" s="2">
        <v>326087641000</v>
      </c>
      <c r="X66" s="2">
        <v>196496637000</v>
      </c>
      <c r="Y66" s="2">
        <v>202457027000</v>
      </c>
    </row>
    <row r="67">
      <c r="B67" t="str">
        <v>Laba Sebelum Pajak</v>
      </c>
      <c r="C67" s="2">
        <v>4782563000000</v>
      </c>
      <c r="D67" s="2">
        <v>1300680000000</v>
      </c>
      <c r="E67" s="2">
        <v>1913423000000</v>
      </c>
      <c r="F67" s="2">
        <v>3598083000000</v>
      </c>
      <c r="H67" s="2">
        <v>9747127000000</v>
      </c>
      <c r="I67" s="2">
        <v>4613643000000</v>
      </c>
      <c r="J67" s="2">
        <v>3854481000000</v>
      </c>
      <c r="K67" s="2">
        <v>5214771000000</v>
      </c>
      <c r="L67" s="2">
        <v>3043509000000</v>
      </c>
      <c r="M67" s="2">
        <v>1641178012000</v>
      </c>
      <c r="N67" s="2">
        <v>687034053000</v>
      </c>
      <c r="O67" s="2">
        <v>1265501806000</v>
      </c>
      <c r="P67" s="2">
        <v>454396524000</v>
      </c>
      <c r="Q67" s="2">
        <v>237291595000</v>
      </c>
      <c r="R67" s="2">
        <v>-1668773924000</v>
      </c>
      <c r="S67" s="2">
        <v>-833134817000</v>
      </c>
      <c r="T67" s="2">
        <v>-132930400000</v>
      </c>
      <c r="U67" s="2">
        <v>3895495061000</v>
      </c>
      <c r="V67" s="2">
        <v>2568781385000</v>
      </c>
      <c r="W67" s="2">
        <v>2272623684000</v>
      </c>
      <c r="X67" s="2">
        <v>784017742000</v>
      </c>
      <c r="Y67" s="2">
        <v>1915753038000</v>
      </c>
    </row>
    <row r="68">
      <c r="B68" t="str">
        <v>Beban Pajak Penghasilan</v>
      </c>
      <c r="C68" s="2">
        <v>-1118452000000</v>
      </c>
      <c r="D68" s="2">
        <v>7528000000</v>
      </c>
      <c r="E68" s="2">
        <v>-444687000000</v>
      </c>
      <c r="F68" s="2">
        <v>-778063000000</v>
      </c>
      <c r="H68" s="2">
        <v>-1826712000000</v>
      </c>
      <c r="I68" s="2">
        <v>-761425000000</v>
      </c>
      <c r="J68" s="2">
        <v>-776833000000</v>
      </c>
      <c r="K68" s="2">
        <v>-1393807000000</v>
      </c>
      <c r="L68" s="2">
        <v>-1181769000000</v>
      </c>
      <c r="M68" s="2">
        <v>-491824319000</v>
      </c>
      <c r="N68" s="2">
        <v>-493182022000</v>
      </c>
      <c r="O68" s="2">
        <v>-391075213000</v>
      </c>
      <c r="P68" s="2">
        <v>-317893255000</v>
      </c>
      <c r="Q68" s="2">
        <v>-172485407000</v>
      </c>
      <c r="R68" s="2">
        <v>227921028000</v>
      </c>
      <c r="S68" s="2">
        <v>57848528000</v>
      </c>
      <c r="T68" s="2">
        <v>542877769000</v>
      </c>
      <c r="U68" s="2">
        <v>-902379330000</v>
      </c>
      <c r="V68" s="2">
        <v>-640889387000</v>
      </c>
      <c r="W68" s="2">
        <v>-597699273000</v>
      </c>
      <c r="X68" s="2">
        <v>-188786842000</v>
      </c>
      <c r="Y68" s="2">
        <v>-546711187000</v>
      </c>
    </row>
    <row r="69">
      <c r="B69" t="str">
        <v>Laba Bersih Dari Operasi Yang D...</v>
      </c>
      <c r="C69" s="2">
        <v>3664111000000</v>
      </c>
      <c r="D69" s="2">
        <v>1308208000000</v>
      </c>
      <c r="E69" s="2">
        <v>1468736000000</v>
      </c>
      <c r="F69" s="2">
        <v>2820020000000</v>
      </c>
      <c r="H69" s="2">
        <v>7920415000000</v>
      </c>
      <c r="I69" s="2">
        <v>3852218000000</v>
      </c>
      <c r="J69" s="2">
        <v>3077648000000</v>
      </c>
      <c r="K69" s="2">
        <v>3820964000000</v>
      </c>
      <c r="L69" s="2">
        <v>1861740000000</v>
      </c>
      <c r="M69" s="2">
        <v>1149353693000</v>
      </c>
      <c r="N69" s="2">
        <v>193852031000</v>
      </c>
      <c r="O69" s="2">
        <v>874426593000</v>
      </c>
      <c r="P69" s="2">
        <v>136503269000</v>
      </c>
      <c r="Q69" s="2">
        <v>64806188000</v>
      </c>
      <c r="R69" s="2">
        <v>-1440852896000</v>
      </c>
      <c r="S69" s="2">
        <v>-775286289000</v>
      </c>
      <c r="T69" s="2">
        <v>409947369000</v>
      </c>
      <c r="U69" s="2">
        <v>2993115731000</v>
      </c>
      <c r="V69" s="2">
        <v>1927891998000</v>
      </c>
      <c r="W69" s="2">
        <v>1674924411000</v>
      </c>
      <c r="X69" s="2">
        <v>595230900000</v>
      </c>
      <c r="Y69" s="2">
        <v>1369041851000</v>
      </c>
    </row>
    <row r="70">
      <c r="B70" t="str">
        <v>Hak Minoritas</v>
      </c>
      <c r="W70" s="2">
        <v>8475581000</v>
      </c>
      <c r="X70" s="2">
        <v>9076188000</v>
      </c>
      <c r="Y70" s="2">
        <v>-902686000</v>
      </c>
    </row>
    <row r="71">
      <c r="B71" t="str">
        <v>Laba Bersih Tahun Berjalan</v>
      </c>
      <c r="C71" s="2">
        <v>3664111000000</v>
      </c>
      <c r="D71" s="2">
        <v>1308208000000</v>
      </c>
      <c r="E71" s="2">
        <v>1468736000000</v>
      </c>
      <c r="F71" s="2">
        <v>2820020000000</v>
      </c>
      <c r="H71" s="2">
        <v>7920415000000</v>
      </c>
      <c r="I71" s="2">
        <v>3852218000000</v>
      </c>
      <c r="J71" s="2">
        <v>3077648000000</v>
      </c>
      <c r="K71" s="2">
        <v>3820964000000</v>
      </c>
      <c r="L71" s="2">
        <v>1861740000000</v>
      </c>
      <c r="M71" s="2">
        <v>1149353693000</v>
      </c>
      <c r="N71" s="2">
        <v>193852031000</v>
      </c>
      <c r="O71" s="2">
        <v>874426593000</v>
      </c>
      <c r="P71" s="2">
        <v>136503269000</v>
      </c>
      <c r="Q71" s="2">
        <v>64806188000</v>
      </c>
      <c r="R71" s="2">
        <v>-1440852896000</v>
      </c>
      <c r="S71" s="2">
        <v>-775286289000</v>
      </c>
      <c r="T71" s="2">
        <v>409947369000</v>
      </c>
      <c r="U71" s="2">
        <v>2993115731000</v>
      </c>
      <c r="V71" s="2">
        <v>1927891998000</v>
      </c>
      <c r="W71" s="2">
        <v>1683399992000</v>
      </c>
      <c r="X71" s="2">
        <v>604307088000</v>
      </c>
      <c r="Y71" s="2">
        <v>1368139165000</v>
      </c>
    </row>
    <row r="72">
      <c r="B72" t="str">
        <v>Pendapatan Komprehensif Lain</v>
      </c>
      <c r="C72" s="2">
        <v>142014000000</v>
      </c>
      <c r="D72" s="2">
        <v>246056000000</v>
      </c>
      <c r="E72" s="2">
        <v>21683000000</v>
      </c>
      <c r="F72" s="2">
        <v>-89769000000</v>
      </c>
      <c r="H72" s="2">
        <v>278471000000</v>
      </c>
      <c r="I72" s="2">
        <v>245354000000</v>
      </c>
      <c r="J72" s="2">
        <v>2753000000</v>
      </c>
      <c r="K72" s="2">
        <v>-15131000000</v>
      </c>
      <c r="L72" s="2">
        <v>338182000000</v>
      </c>
      <c r="M72" s="2">
        <v>-175475942000</v>
      </c>
      <c r="N72" s="2">
        <v>-202750386000</v>
      </c>
      <c r="O72" s="2">
        <v>422177987000</v>
      </c>
      <c r="P72" s="2">
        <v>-54895325000</v>
      </c>
      <c r="Q72" s="2">
        <v>27270423000</v>
      </c>
      <c r="R72" s="2">
        <v>2353408947000</v>
      </c>
      <c r="S72" s="2">
        <v>107245000</v>
      </c>
      <c r="T72" s="2">
        <v>191354000</v>
      </c>
      <c r="U72" s="2">
        <v>-4091142000</v>
      </c>
      <c r="V72" s="2">
        <v>-3152584000</v>
      </c>
    </row>
    <row r="73">
      <c r="B73" t="str">
        <v>Jumlah Laba Komprehensif</v>
      </c>
      <c r="C73" s="2">
        <v>3806125000000</v>
      </c>
      <c r="D73" s="2">
        <v>1554264000000</v>
      </c>
      <c r="E73" s="2">
        <v>1490419000000</v>
      </c>
      <c r="F73" s="2">
        <v>2730251000000</v>
      </c>
      <c r="H73" s="2">
        <v>8198886000000</v>
      </c>
      <c r="I73" s="2">
        <v>4097572000000</v>
      </c>
      <c r="J73" s="2">
        <v>3080401000000</v>
      </c>
      <c r="K73" s="2">
        <v>3805833000000</v>
      </c>
      <c r="L73" s="2">
        <v>2199922000000</v>
      </c>
      <c r="M73" s="2">
        <v>973877751000</v>
      </c>
      <c r="N73" s="2">
        <v>-8898355000</v>
      </c>
      <c r="O73" s="2">
        <v>1296604580000</v>
      </c>
      <c r="P73" s="2">
        <v>81607944000</v>
      </c>
      <c r="Q73" s="2">
        <v>92076611000</v>
      </c>
      <c r="R73" s="2">
        <v>912556051000</v>
      </c>
      <c r="S73" s="2">
        <v>-775179044000</v>
      </c>
      <c r="T73" s="2">
        <v>410138723000</v>
      </c>
      <c r="U73" s="2">
        <v>2989024589000</v>
      </c>
      <c r="V73" s="2">
        <v>1924739414000</v>
      </c>
    </row>
    <row r="74">
      <c r="B74" t="str">
        <v>Laba Bersih Yang Dapat Diatribu...</v>
      </c>
      <c r="C74" s="2">
        <v>3664111000000</v>
      </c>
      <c r="D74" s="2">
        <v>1308208000000</v>
      </c>
      <c r="E74" s="2">
        <v>1468736000000</v>
      </c>
      <c r="F74" s="2">
        <v>2820020000000</v>
      </c>
      <c r="H74" s="2">
        <v>7920415000000</v>
      </c>
      <c r="I74" s="2">
        <v>3852218000000</v>
      </c>
      <c r="J74" s="2">
        <v>3077648000000</v>
      </c>
      <c r="K74" s="2">
        <v>3820964000000</v>
      </c>
      <c r="L74" s="2">
        <v>1861740000000</v>
      </c>
      <c r="M74" s="2">
        <v>1149353693000</v>
      </c>
      <c r="N74" s="2">
        <v>193852031000</v>
      </c>
      <c r="O74" s="2">
        <v>874426593000</v>
      </c>
      <c r="P74" s="2">
        <v>136503269000</v>
      </c>
      <c r="Q74" s="2">
        <v>64806188000</v>
      </c>
      <c r="R74" s="2">
        <v>-1440852896000</v>
      </c>
      <c r="S74" s="2">
        <v>-775286289000</v>
      </c>
      <c r="T74" s="2">
        <v>409947369000</v>
      </c>
      <c r="U74" s="2">
        <v>2993115731000</v>
      </c>
      <c r="V74" s="2">
        <v>1927891998000</v>
      </c>
      <c r="W74" s="2">
        <v>1683399992000</v>
      </c>
      <c r="X74" s="2">
        <v>604307088000</v>
      </c>
      <c r="Y74" s="2">
        <v>1368139165000</v>
      </c>
    </row>
    <row r="75">
      <c r="B75" t="str">
        <v>Pemilik Entitas Induk</v>
      </c>
      <c r="C75" s="2">
        <v>3548796000000</v>
      </c>
      <c r="D75" s="2">
        <v>1480311000000</v>
      </c>
      <c r="E75" s="2">
        <v>1299892000000</v>
      </c>
      <c r="F75" s="2">
        <v>2475413000000</v>
      </c>
      <c r="H75" s="2">
        <v>7487305000000</v>
      </c>
      <c r="I75" s="2">
        <v>3892564000000</v>
      </c>
      <c r="J75" s="2">
        <v>3080399000000</v>
      </c>
      <c r="K75" s="2">
        <v>3805834000000</v>
      </c>
      <c r="L75" s="2">
        <v>2199925000000</v>
      </c>
      <c r="M75" s="2">
        <v>973876861000</v>
      </c>
      <c r="N75" s="2">
        <v>-8899239000</v>
      </c>
      <c r="O75" s="2">
        <v>1296603017000</v>
      </c>
      <c r="P75" s="2">
        <v>81611457000</v>
      </c>
      <c r="Q75" s="2">
        <v>92080748000</v>
      </c>
      <c r="R75" s="2">
        <v>912557152000</v>
      </c>
      <c r="S75" s="2">
        <v>-775179588000</v>
      </c>
      <c r="T75" s="2">
        <v>410135469000</v>
      </c>
      <c r="U75" s="2">
        <v>2989023840000</v>
      </c>
      <c r="V75" s="2">
        <v>1924736965000</v>
      </c>
    </row>
    <row r="76">
      <c r="B76" t="str">
        <v>Total Laba Bersih Yang Dapat ...</v>
      </c>
      <c r="C76" s="2">
        <v>3664111000000</v>
      </c>
      <c r="D76" s="2">
        <v>1308208000000</v>
      </c>
      <c r="E76" s="2">
        <v>1468736000000</v>
      </c>
      <c r="F76" s="2">
        <v>2820020000000</v>
      </c>
      <c r="H76" s="2">
        <v>7920415000000</v>
      </c>
      <c r="I76" s="2">
        <v>3852218000000</v>
      </c>
      <c r="J76" s="2">
        <v>3077648000000</v>
      </c>
      <c r="K76" s="2">
        <v>3820964000000</v>
      </c>
      <c r="L76" s="2">
        <v>1861740000000</v>
      </c>
      <c r="M76" s="2">
        <v>1149353693000</v>
      </c>
      <c r="N76" s="2">
        <v>193852031000</v>
      </c>
      <c r="O76" s="2">
        <v>874426593000</v>
      </c>
      <c r="P76" s="2">
        <v>136503269000</v>
      </c>
      <c r="Q76" s="2">
        <v>64806188000</v>
      </c>
      <c r="R76" s="2">
        <v>-1440852896000</v>
      </c>
      <c r="S76" s="2">
        <v>-775286289000</v>
      </c>
      <c r="T76" s="2">
        <v>409947369000</v>
      </c>
      <c r="U76" s="2">
        <v>2993115731000</v>
      </c>
      <c r="V76" s="2">
        <v>1927891998000</v>
      </c>
      <c r="W76" s="2">
        <v>1683399992000</v>
      </c>
      <c r="X76" s="2">
        <v>604307088000</v>
      </c>
      <c r="Y76" s="2">
        <v>1368139165000</v>
      </c>
    </row>
    <row r="77">
      <c r="B77" t="str">
        <v>Laba Komprehensif Yang Dapat Di...</v>
      </c>
      <c r="C77" s="2">
        <v>3806125000000</v>
      </c>
      <c r="D77" s="2">
        <v>1554264000000</v>
      </c>
      <c r="E77" s="2">
        <v>1490419000000</v>
      </c>
      <c r="F77" s="2">
        <v>2730251000000</v>
      </c>
      <c r="H77" s="2">
        <v>8198886000000</v>
      </c>
      <c r="I77" s="2">
        <v>4097572000000</v>
      </c>
      <c r="J77" s="2">
        <v>3080401000000</v>
      </c>
      <c r="K77" s="2">
        <v>3805833000000</v>
      </c>
      <c r="L77" s="2">
        <v>2199922000000</v>
      </c>
      <c r="M77" s="2">
        <v>973877751000</v>
      </c>
      <c r="N77" s="2">
        <v>-8898355000</v>
      </c>
      <c r="O77" s="2">
        <v>1296604580000</v>
      </c>
      <c r="P77" s="2">
        <v>81607944000</v>
      </c>
      <c r="Q77" s="2">
        <v>92076611000</v>
      </c>
      <c r="R77" s="2">
        <v>912556051000</v>
      </c>
      <c r="S77" s="2">
        <v>-775179044000</v>
      </c>
      <c r="T77" s="2">
        <v>410138723000</v>
      </c>
      <c r="U77" s="2">
        <v>2989024589000</v>
      </c>
      <c r="V77" s="2">
        <v>1924739414000</v>
      </c>
    </row>
    <row r="78">
      <c r="B78" t="str">
        <v>Total Laba Komprehensif Yang ...</v>
      </c>
      <c r="C78" s="2">
        <v>3806125000000</v>
      </c>
      <c r="D78" s="2">
        <v>1554264000000</v>
      </c>
      <c r="E78" s="2">
        <v>1490419000000</v>
      </c>
      <c r="F78" s="2">
        <v>2730251000000</v>
      </c>
      <c r="H78" s="2">
        <v>8198886000000</v>
      </c>
      <c r="I78" s="2">
        <v>4097572000000</v>
      </c>
      <c r="J78" s="2">
        <v>3080401000000</v>
      </c>
      <c r="K78" s="2">
        <v>3805833000000</v>
      </c>
      <c r="L78" s="2">
        <v>2199922000000</v>
      </c>
      <c r="M78" s="2">
        <v>973877751000</v>
      </c>
      <c r="N78" s="2">
        <v>-8898355000</v>
      </c>
      <c r="O78" s="2">
        <v>1296604580000</v>
      </c>
      <c r="P78" s="2">
        <v>81607944000</v>
      </c>
      <c r="Q78" s="2">
        <v>92076611000</v>
      </c>
      <c r="R78" s="2">
        <v>912556051000</v>
      </c>
      <c r="S78" s="2">
        <v>-775179044000</v>
      </c>
      <c r="T78" s="2">
        <v>410138723000</v>
      </c>
      <c r="U78" s="2">
        <v>2989024589000</v>
      </c>
      <c r="V78" s="2">
        <v>1924739414000</v>
      </c>
    </row>
    <row r="80">
      <c r="A80" t="str">
        <v>Balance Sheet</v>
      </c>
      <c r="B80" t="str">
        <v>Aset</v>
      </c>
    </row>
    <row r="81">
      <c r="B81" t="str">
        <v>Aset Lancar</v>
      </c>
    </row>
    <row r="82">
      <c r="B82" t="str">
        <v>Kas Dan Setara Kas</v>
      </c>
      <c r="C82" s="2">
        <v>9038508000000</v>
      </c>
      <c r="D82" s="2">
        <v>8433610000000</v>
      </c>
      <c r="E82" s="2">
        <v>9261871000000</v>
      </c>
      <c r="F82" s="2">
        <v>10513725000000</v>
      </c>
      <c r="H82" s="2">
        <v>8433610000000</v>
      </c>
      <c r="I82" s="2">
        <v>4751621000000</v>
      </c>
      <c r="J82" s="2">
        <v>9208814000000</v>
      </c>
      <c r="K82" s="2">
        <v>4476491000000</v>
      </c>
      <c r="L82" s="2">
        <v>5089160000000</v>
      </c>
      <c r="M82" s="2">
        <v>3984387647000</v>
      </c>
      <c r="N82" s="2">
        <v>3636243080000</v>
      </c>
      <c r="O82" s="2">
        <v>4299068085000</v>
      </c>
      <c r="P82" s="2">
        <v>5550677020000</v>
      </c>
      <c r="Q82" s="2">
        <v>7623385438000</v>
      </c>
      <c r="R82" s="2">
        <v>8086634372000</v>
      </c>
      <c r="S82" s="2">
        <v>2618910283000</v>
      </c>
      <c r="T82" s="2">
        <v>2792737848000</v>
      </c>
      <c r="U82" s="2">
        <v>3868574769000</v>
      </c>
      <c r="V82" s="2">
        <v>5639678574000</v>
      </c>
      <c r="W82" s="2">
        <v>4308242737000</v>
      </c>
      <c r="X82" s="2">
        <v>2773582727000</v>
      </c>
      <c r="Y82" s="2">
        <v>3284218532000</v>
      </c>
    </row>
    <row r="83">
      <c r="B83" t="str">
        <v>Piutang Usaha</v>
      </c>
      <c r="C83" s="2">
        <v>3116720000000</v>
      </c>
      <c r="D83" s="2">
        <v>2327866000000</v>
      </c>
      <c r="E83" s="2">
        <v>1568489000000</v>
      </c>
      <c r="F83" s="2">
        <v>2047916000000</v>
      </c>
      <c r="H83" s="2">
        <v>2327866000000</v>
      </c>
      <c r="I83" s="2">
        <v>1148794000000</v>
      </c>
      <c r="J83" s="2">
        <v>1094271000000</v>
      </c>
      <c r="K83" s="2">
        <v>1832623000000</v>
      </c>
      <c r="L83" s="2">
        <v>1447676000000</v>
      </c>
      <c r="M83" s="2">
        <v>1344195664000</v>
      </c>
      <c r="N83" s="2">
        <v>1002334714000</v>
      </c>
      <c r="O83" s="2">
        <v>923895620000</v>
      </c>
      <c r="P83" s="2">
        <v>971168156000</v>
      </c>
      <c r="Q83" s="2">
        <v>834170879000</v>
      </c>
      <c r="R83" s="2">
        <v>448012221000</v>
      </c>
      <c r="S83" s="2">
        <v>1067620272000</v>
      </c>
      <c r="T83" s="2">
        <v>1152686688000</v>
      </c>
      <c r="U83" s="2">
        <v>1722426366000</v>
      </c>
      <c r="V83" s="2">
        <v>1247342620000</v>
      </c>
      <c r="W83" s="2">
        <v>1579883859000</v>
      </c>
      <c r="X83" s="2">
        <v>818097073000</v>
      </c>
      <c r="Y83" s="2">
        <v>594950328000</v>
      </c>
    </row>
    <row r="84">
      <c r="B84" t="str">
        <v>Pihak Ketiga</v>
      </c>
      <c r="N84" s="2">
        <v>642785413000</v>
      </c>
      <c r="O84" s="2">
        <v>429241388000</v>
      </c>
      <c r="P84" s="2">
        <v>327219276000</v>
      </c>
      <c r="Q84" s="2">
        <v>419910100000</v>
      </c>
      <c r="R84" s="2">
        <v>547034314000</v>
      </c>
      <c r="S84" s="2">
        <v>448654416000</v>
      </c>
      <c r="T84" s="2">
        <v>471822225000</v>
      </c>
      <c r="U84" s="2">
        <v>378228386000</v>
      </c>
      <c r="V84" s="2">
        <v>255244948000</v>
      </c>
      <c r="W84" s="2">
        <v>247912405000</v>
      </c>
      <c r="X84" s="2">
        <v>155577968000</v>
      </c>
      <c r="Y84" s="2">
        <v>128562808000</v>
      </c>
    </row>
    <row r="85">
      <c r="B85" t="str">
        <v>Pihak Berelasi</v>
      </c>
      <c r="N85" s="2">
        <v>96958283000</v>
      </c>
      <c r="O85" s="2">
        <v>728749573000</v>
      </c>
      <c r="P85" s="2">
        <v>479165925000</v>
      </c>
      <c r="Q85" s="2">
        <v>165815841000</v>
      </c>
      <c r="R85" s="2">
        <v>177060544000</v>
      </c>
      <c r="S85" s="2">
        <v>238821839000</v>
      </c>
      <c r="T85" s="2">
        <v>75257785000</v>
      </c>
      <c r="U85" s="2">
        <v>38725066000</v>
      </c>
      <c r="V85" s="2">
        <v>2349614000</v>
      </c>
      <c r="W85" s="2">
        <v>16744722000</v>
      </c>
      <c r="X85" s="2">
        <v>2932320000</v>
      </c>
      <c r="Y85" s="2">
        <v>1968830000</v>
      </c>
    </row>
    <row r="86">
      <c r="B86" t="str">
        <v>Total Piutang Usaha</v>
      </c>
      <c r="C86" s="2">
        <v>3116720000000</v>
      </c>
      <c r="D86" s="2">
        <v>2327866000000</v>
      </c>
      <c r="E86" s="2">
        <v>1568489000000</v>
      </c>
      <c r="F86" s="2">
        <v>2047916000000</v>
      </c>
      <c r="H86" s="2">
        <v>2327866000000</v>
      </c>
      <c r="I86" s="2">
        <v>1148794000000</v>
      </c>
      <c r="J86" s="2">
        <v>1094271000000</v>
      </c>
      <c r="K86" s="2">
        <v>1832623000000</v>
      </c>
      <c r="L86" s="2">
        <v>1447676000000</v>
      </c>
      <c r="M86" s="2">
        <v>1344195664000</v>
      </c>
      <c r="N86" s="2">
        <v>1002334714000</v>
      </c>
      <c r="O86" s="2">
        <v>923895620000</v>
      </c>
      <c r="P86" s="2">
        <v>971168156000</v>
      </c>
      <c r="Q86" s="2">
        <v>834170879000</v>
      </c>
      <c r="R86" s="2">
        <v>448012221000</v>
      </c>
      <c r="S86" s="2">
        <v>1067620272000</v>
      </c>
      <c r="T86" s="2">
        <v>1152686688000</v>
      </c>
      <c r="U86" s="2">
        <v>1722426366000</v>
      </c>
      <c r="V86" s="2">
        <v>1247342620000</v>
      </c>
      <c r="W86" s="2">
        <v>1579883859000</v>
      </c>
      <c r="X86" s="2">
        <v>818097073000</v>
      </c>
      <c r="Y86" s="2">
        <v>594950328000</v>
      </c>
    </row>
    <row r="87">
      <c r="B87" t="str">
        <v>Piutang Lain-Lain</v>
      </c>
      <c r="C87" s="2">
        <v>248321000000</v>
      </c>
      <c r="D87" s="2">
        <v>109352000000</v>
      </c>
      <c r="E87" s="2">
        <v>244829000000</v>
      </c>
      <c r="F87" s="2">
        <v>243084000000</v>
      </c>
      <c r="H87" s="2">
        <v>109352000000</v>
      </c>
      <c r="I87" s="2">
        <v>239592000000</v>
      </c>
      <c r="O87" s="2">
        <v>455070658000</v>
      </c>
      <c r="P87" s="2">
        <v>1810907131000</v>
      </c>
      <c r="Q87" s="2">
        <v>514361416000</v>
      </c>
      <c r="R87" s="2">
        <v>481963825000</v>
      </c>
      <c r="S87" s="2">
        <v>37027697000</v>
      </c>
      <c r="T87" s="2">
        <v>33732183000</v>
      </c>
    </row>
    <row r="88">
      <c r="B88" t="str">
        <v>Total Piutang Lain-Lai...</v>
      </c>
      <c r="C88" s="2">
        <v>248321000000</v>
      </c>
      <c r="D88" s="2">
        <v>109352000000</v>
      </c>
      <c r="E88" s="2">
        <v>244829000000</v>
      </c>
      <c r="F88" s="2">
        <v>243084000000</v>
      </c>
      <c r="H88" s="2">
        <v>109352000000</v>
      </c>
      <c r="I88" s="2">
        <v>239592000000</v>
      </c>
      <c r="O88" s="2">
        <v>455070658000</v>
      </c>
      <c r="P88" s="2">
        <v>1810907131000</v>
      </c>
      <c r="Q88" s="2">
        <v>514361416000</v>
      </c>
      <c r="R88" s="2">
        <v>481963825000</v>
      </c>
      <c r="S88" s="2">
        <v>37027697000</v>
      </c>
      <c r="T88" s="2">
        <v>33732183000</v>
      </c>
    </row>
    <row r="89">
      <c r="B89" t="str">
        <v>Piutang Pihak Berelasi</v>
      </c>
    </row>
    <row r="90">
      <c r="B90" t="str">
        <v>Persediaan</v>
      </c>
      <c r="C90" s="2">
        <v>16848545000000</v>
      </c>
      <c r="D90" s="2">
        <v>7731354000000</v>
      </c>
      <c r="E90" s="2">
        <v>5978877000000</v>
      </c>
      <c r="F90" s="2">
        <v>6592627000000</v>
      </c>
      <c r="H90" s="2">
        <v>7731354000000</v>
      </c>
      <c r="I90" s="2">
        <v>6039652000000</v>
      </c>
      <c r="J90" s="2">
        <v>3470153000000</v>
      </c>
      <c r="K90" s="2">
        <v>2906069000000</v>
      </c>
      <c r="L90" s="2">
        <v>3107312000000</v>
      </c>
      <c r="M90" s="2">
        <v>2626022280000</v>
      </c>
      <c r="N90" s="2">
        <v>1796301441000</v>
      </c>
      <c r="O90" s="2">
        <v>2027731541000</v>
      </c>
      <c r="P90" s="2">
        <v>1257785082000</v>
      </c>
      <c r="Q90" s="2">
        <v>1388415530000</v>
      </c>
      <c r="R90" s="2">
        <v>1752584557000</v>
      </c>
      <c r="S90" s="2">
        <v>1761888223000</v>
      </c>
      <c r="T90" s="2">
        <v>2445933902000</v>
      </c>
      <c r="U90" s="2">
        <v>1449967933000</v>
      </c>
      <c r="V90" s="2">
        <v>1687897283000</v>
      </c>
      <c r="W90" s="2">
        <v>1229283112000</v>
      </c>
      <c r="X90" s="2">
        <v>1170505411000</v>
      </c>
      <c r="Y90" s="2">
        <v>1391471720000</v>
      </c>
    </row>
    <row r="91">
      <c r="B91" t="str">
        <v>Others</v>
      </c>
      <c r="C91" s="2">
        <v>4560002000000</v>
      </c>
      <c r="D91" s="2">
        <v>4417988000000</v>
      </c>
      <c r="E91" s="2">
        <v>4408959000000</v>
      </c>
      <c r="F91" s="2">
        <v>4384363000000</v>
      </c>
      <c r="H91" s="2">
        <v>4417988000000</v>
      </c>
      <c r="I91" s="2">
        <v>4373203000000</v>
      </c>
      <c r="J91" s="2">
        <v>4154409000000</v>
      </c>
      <c r="K91" s="2">
        <v>4231622000000</v>
      </c>
      <c r="L91" s="2">
        <v>4227664000000</v>
      </c>
      <c r="M91" s="2">
        <v>3915454638000</v>
      </c>
      <c r="N91" s="2">
        <v>3882713696000</v>
      </c>
      <c r="O91" s="2">
        <v>2810123112000</v>
      </c>
      <c r="P91" s="2">
        <v>2386755460000</v>
      </c>
      <c r="Q91" s="2">
        <v>2385616340000</v>
      </c>
      <c r="R91" s="2">
        <v>2385736471000</v>
      </c>
      <c r="S91" s="2">
        <v>55102023000</v>
      </c>
      <c r="T91" s="2">
        <v>51617267000</v>
      </c>
      <c r="U91" s="2">
        <v>121157392000</v>
      </c>
      <c r="V91" s="2">
        <v>115190902000</v>
      </c>
      <c r="W91" s="2">
        <v>114898262000</v>
      </c>
      <c r="X91" s="2">
        <v>101244400000</v>
      </c>
      <c r="Y91" s="2">
        <v>51972066000</v>
      </c>
    </row>
    <row r="92">
      <c r="B92" t="str">
        <v>Total Aset Lancar</v>
      </c>
      <c r="C92" s="2">
        <v>33206503000000</v>
      </c>
      <c r="D92" s="2">
        <v>23021850000000</v>
      </c>
      <c r="E92" s="2">
        <v>19373128000000</v>
      </c>
      <c r="F92" s="2">
        <v>20959065000000</v>
      </c>
      <c r="H92" s="2">
        <v>23021850000000</v>
      </c>
      <c r="I92" s="2">
        <v>17991975000000</v>
      </c>
      <c r="J92" s="2">
        <v>20064546000000</v>
      </c>
      <c r="K92" s="2">
        <v>11694779000000</v>
      </c>
      <c r="L92" s="2">
        <v>11728143000000</v>
      </c>
      <c r="M92" s="2">
        <v>9150514439000</v>
      </c>
      <c r="N92" s="2">
        <v>7665239260000</v>
      </c>
      <c r="O92" s="2">
        <v>8498442636000</v>
      </c>
      <c r="P92" s="2">
        <v>9001938755000</v>
      </c>
      <c r="Q92" s="2">
        <v>10630221568000</v>
      </c>
      <c r="R92" s="2">
        <v>11252826560000</v>
      </c>
      <c r="S92" s="2">
        <v>6343109936000</v>
      </c>
      <c r="T92" s="2">
        <v>7080437173000</v>
      </c>
      <c r="U92" s="2">
        <v>7646851196000</v>
      </c>
      <c r="V92" s="2">
        <v>9108019774000</v>
      </c>
      <c r="W92" s="2">
        <v>7593630426000</v>
      </c>
      <c r="X92" s="2">
        <v>5436847017000</v>
      </c>
      <c r="Y92" s="2">
        <v>5819531944000</v>
      </c>
    </row>
    <row r="93">
      <c r="B93" t="str">
        <v>Aset Tidak Lancar</v>
      </c>
    </row>
    <row r="94">
      <c r="B94" t="str">
        <v>Investasi Pada Entitas A...</v>
      </c>
      <c r="C94" s="2">
        <v>9242995000000</v>
      </c>
      <c r="D94" s="2">
        <v>8999142000000</v>
      </c>
      <c r="E94" s="2">
        <v>8740398000000</v>
      </c>
      <c r="F94" s="2">
        <v>5982098000000</v>
      </c>
      <c r="H94" s="2">
        <v>8999142000000</v>
      </c>
      <c r="I94" s="2">
        <v>5426133000000</v>
      </c>
      <c r="J94" s="2">
        <v>2568246000000</v>
      </c>
      <c r="K94" s="2">
        <v>2708056000000</v>
      </c>
      <c r="L94" s="2">
        <v>1770368000000</v>
      </c>
      <c r="M94" s="2">
        <v>1071954072000</v>
      </c>
      <c r="N94" s="2">
        <v>744529918000</v>
      </c>
      <c r="O94" s="2">
        <v>1097162918000</v>
      </c>
      <c r="P94" s="2">
        <v>1690633406000</v>
      </c>
      <c r="Q94" s="2">
        <v>2080115940000</v>
      </c>
      <c r="R94" s="2">
        <v>1992516049000</v>
      </c>
      <c r="S94" s="2">
        <v>2687171571000</v>
      </c>
      <c r="T94" s="2">
        <v>3582548750000</v>
      </c>
      <c r="U94" s="2">
        <v>3956042901000</v>
      </c>
      <c r="V94" s="2">
        <v>173259737000</v>
      </c>
    </row>
    <row r="95">
      <c r="B95" t="str">
        <v>Investasi Pada Entitas P...</v>
      </c>
      <c r="P95" s="2">
        <v>835350024000</v>
      </c>
      <c r="Q95" s="2">
        <v>1136694848000</v>
      </c>
      <c r="R95" s="2">
        <v>1481635779000</v>
      </c>
      <c r="S95" s="2">
        <v>1438385425000</v>
      </c>
      <c r="T95" s="2">
        <v>1350639204000</v>
      </c>
      <c r="U95" s="2">
        <v>1154405032000</v>
      </c>
      <c r="V95" s="2">
        <v>1035900790000</v>
      </c>
    </row>
    <row r="96">
      <c r="B96" t="str">
        <v>Aset Tetap</v>
      </c>
      <c r="C96" s="2">
        <v>14304935000000</v>
      </c>
      <c r="D96" s="2">
        <v>14418214000000</v>
      </c>
      <c r="E96" s="2">
        <v>15268785000000</v>
      </c>
      <c r="F96" s="2">
        <v>15374274000000</v>
      </c>
      <c r="H96" s="2">
        <v>14418214000000</v>
      </c>
      <c r="I96" s="2">
        <v>15644099000000</v>
      </c>
      <c r="J96" s="2">
        <v>16183257000000</v>
      </c>
      <c r="K96" s="2">
        <v>16471563000000</v>
      </c>
      <c r="L96" s="2">
        <v>16863748000000</v>
      </c>
      <c r="M96" s="2">
        <v>18248068325000</v>
      </c>
      <c r="N96" s="2">
        <v>18865691270000</v>
      </c>
      <c r="O96" s="2">
        <v>20128155732000</v>
      </c>
      <c r="P96" s="2">
        <v>14092994799000</v>
      </c>
      <c r="Q96" s="2">
        <v>12958946013000</v>
      </c>
      <c r="R96" s="2">
        <v>12267804244000</v>
      </c>
      <c r="S96" s="2">
        <v>8699660101000</v>
      </c>
      <c r="T96" s="2">
        <v>6700155560000</v>
      </c>
      <c r="U96" s="2">
        <v>4663449270000</v>
      </c>
      <c r="V96" s="2">
        <v>2980742742000</v>
      </c>
      <c r="W96" s="2">
        <v>2952396841000</v>
      </c>
      <c r="X96" s="2">
        <v>2890601952000</v>
      </c>
      <c r="Y96" s="2">
        <v>2890477780000</v>
      </c>
    </row>
    <row r="97">
      <c r="B97" t="str">
        <v>Properti Pertambangan</v>
      </c>
      <c r="C97" s="2">
        <v>852131000000</v>
      </c>
      <c r="D97" s="2">
        <v>865053000000</v>
      </c>
      <c r="E97" s="2">
        <v>523155000000</v>
      </c>
      <c r="F97" s="2">
        <v>540637000000</v>
      </c>
      <c r="H97" s="2">
        <v>865053000000</v>
      </c>
      <c r="I97" s="2">
        <v>578136000000</v>
      </c>
      <c r="J97" s="2">
        <v>616042000000</v>
      </c>
      <c r="K97" s="2">
        <v>719502000000</v>
      </c>
      <c r="L97" s="2">
        <v>680418000000</v>
      </c>
      <c r="M97" s="2">
        <v>717278245000</v>
      </c>
      <c r="N97" s="2">
        <v>752994987000</v>
      </c>
      <c r="O97" s="2">
        <v>868955970000</v>
      </c>
      <c r="P97" s="2">
        <v>933832021000</v>
      </c>
      <c r="Q97" s="2">
        <v>853515777000</v>
      </c>
      <c r="R97" s="2">
        <v>863973221000</v>
      </c>
      <c r="S97" s="2">
        <v>893941509000</v>
      </c>
      <c r="T97" s="2">
        <v>858785854000</v>
      </c>
      <c r="U97" s="2">
        <v>666238614000</v>
      </c>
    </row>
    <row r="98">
      <c r="B98" t="str">
        <v>Aset Eksplorasi Dan Eval...</v>
      </c>
      <c r="C98" s="2">
        <v>1168103000000</v>
      </c>
      <c r="D98" s="2">
        <v>1146270000000</v>
      </c>
      <c r="E98" s="2">
        <v>1090516000000</v>
      </c>
      <c r="F98" s="2">
        <v>1045122000000</v>
      </c>
      <c r="H98" s="2">
        <v>1146270000000</v>
      </c>
      <c r="I98" s="2">
        <v>952224000000</v>
      </c>
      <c r="J98" s="2">
        <v>741468000000</v>
      </c>
      <c r="K98" s="2">
        <v>521179000000</v>
      </c>
      <c r="L98" s="2">
        <v>594141000000</v>
      </c>
      <c r="M98" s="2">
        <v>672919983000</v>
      </c>
      <c r="N98" s="2">
        <v>658740597000</v>
      </c>
      <c r="O98" s="2">
        <v>670169961000</v>
      </c>
      <c r="P98" s="2">
        <v>665322451000</v>
      </c>
      <c r="Q98" s="2">
        <v>799356725000</v>
      </c>
      <c r="R98" s="2">
        <v>743551056000</v>
      </c>
      <c r="S98" s="2">
        <v>687064468000</v>
      </c>
      <c r="T98" s="2">
        <v>709712614000</v>
      </c>
      <c r="U98" s="2">
        <v>754404102000</v>
      </c>
    </row>
    <row r="99">
      <c r="B99" t="str">
        <v>Biaya Eksplorasi Dan Pen...</v>
      </c>
      <c r="V99" s="2">
        <v>1142208576000</v>
      </c>
      <c r="W99" s="2">
        <v>913438233000</v>
      </c>
      <c r="X99" s="2">
        <v>780712101000</v>
      </c>
      <c r="Y99" s="2">
        <v>622828357000</v>
      </c>
    </row>
    <row r="100">
      <c r="B100" t="str">
        <v>Aset Tak Berwujud</v>
      </c>
      <c r="C100" s="2">
        <v>72282000000</v>
      </c>
      <c r="D100" s="2">
        <v>75331000000</v>
      </c>
      <c r="E100" s="2">
        <v>105220000000</v>
      </c>
      <c r="F100" s="2">
        <v>82274000000</v>
      </c>
      <c r="H100" s="2">
        <v>75331000000</v>
      </c>
      <c r="I100" s="2">
        <v>67231000000</v>
      </c>
      <c r="J100" s="2">
        <v>45534000000</v>
      </c>
      <c r="K100" s="2">
        <v>33144000000</v>
      </c>
      <c r="L100" s="2">
        <v>42121000000</v>
      </c>
      <c r="M100" s="2">
        <v>46926785000</v>
      </c>
      <c r="N100" s="2">
        <v>42992368000</v>
      </c>
    </row>
    <row r="101">
      <c r="B101" t="str">
        <v>Goodwill</v>
      </c>
      <c r="C101" s="2">
        <v>68336000000</v>
      </c>
      <c r="D101" s="2">
        <v>68336000000</v>
      </c>
      <c r="E101" s="2">
        <v>68336000000</v>
      </c>
      <c r="F101" s="2">
        <v>68336000000</v>
      </c>
      <c r="H101" s="2">
        <v>68336000000</v>
      </c>
      <c r="I101" s="2">
        <v>68336000000</v>
      </c>
      <c r="J101" s="2">
        <v>68336000000</v>
      </c>
      <c r="K101" s="2">
        <v>68336000000</v>
      </c>
      <c r="L101" s="2">
        <v>68336000000</v>
      </c>
      <c r="M101" s="2">
        <v>68336044000</v>
      </c>
      <c r="N101" s="2">
        <v>68336044000</v>
      </c>
      <c r="O101" s="2">
        <v>101759427000</v>
      </c>
      <c r="P101" s="2">
        <v>101759427000</v>
      </c>
      <c r="Q101" s="2">
        <v>101759427000</v>
      </c>
      <c r="R101" s="2">
        <v>101759427000</v>
      </c>
      <c r="S101" s="2">
        <v>133651462000</v>
      </c>
      <c r="T101" s="2">
        <v>179941213000</v>
      </c>
      <c r="U101" s="2">
        <v>185373972000</v>
      </c>
      <c r="V101" s="2">
        <v>185373972000</v>
      </c>
      <c r="W101" s="2">
        <v>89766189000</v>
      </c>
      <c r="X101" s="2">
        <v>80964126000</v>
      </c>
      <c r="Y101" s="2">
        <v>85360253000</v>
      </c>
    </row>
    <row r="102">
      <c r="B102" t="str">
        <v>Aset Pajak Tangguhan</v>
      </c>
      <c r="C102" s="2">
        <v>835270000000</v>
      </c>
      <c r="D102" s="2">
        <v>957591000000</v>
      </c>
      <c r="E102" s="2">
        <v>469254000000</v>
      </c>
      <c r="F102" s="2">
        <v>424436000000</v>
      </c>
      <c r="H102" s="2">
        <v>957591000000</v>
      </c>
      <c r="I102" s="2">
        <v>430803000000</v>
      </c>
      <c r="J102" s="2">
        <v>183565000000</v>
      </c>
      <c r="K102" s="2">
        <v>159725000000</v>
      </c>
      <c r="L102" s="2">
        <v>111471000000</v>
      </c>
      <c r="M102" s="2">
        <v>173374046000</v>
      </c>
      <c r="N102" s="2">
        <v>129448529000</v>
      </c>
      <c r="O102" s="2">
        <v>220095687000</v>
      </c>
      <c r="P102" s="2">
        <v>306609010000</v>
      </c>
      <c r="Q102" s="2">
        <v>560641159000</v>
      </c>
      <c r="R102" s="2">
        <v>732082537000</v>
      </c>
      <c r="S102" s="2">
        <v>517099063000</v>
      </c>
      <c r="T102" s="2">
        <v>433034792000</v>
      </c>
      <c r="U102" s="2">
        <v>36211700000</v>
      </c>
      <c r="V102" s="2">
        <v>371457104000</v>
      </c>
      <c r="W102" s="2">
        <v>407752089000</v>
      </c>
      <c r="X102" s="2">
        <v>348539106000</v>
      </c>
      <c r="Y102" s="2">
        <v>380271230000</v>
      </c>
    </row>
    <row r="103">
      <c r="B103" t="str">
        <v>Total Aset Tidak Lancar</v>
      </c>
      <c r="C103" s="2">
        <v>30089159000000</v>
      </c>
      <c r="D103" s="2">
        <v>29508555000000</v>
      </c>
      <c r="E103" s="2">
        <v>28701619000000</v>
      </c>
      <c r="F103" s="2">
        <v>27419084000000</v>
      </c>
      <c r="H103" s="2">
        <v>29508555000000</v>
      </c>
      <c r="I103" s="2">
        <v>26530670000000</v>
      </c>
      <c r="J103" s="2">
        <v>22786783000000</v>
      </c>
      <c r="K103" s="2">
        <v>21942492000000</v>
      </c>
      <c r="L103" s="2">
        <v>21188011000000</v>
      </c>
      <c r="M103" s="2">
        <v>22578998556000</v>
      </c>
      <c r="N103" s="2">
        <v>22529668470000</v>
      </c>
      <c r="O103" s="2">
        <v>24807948171000</v>
      </c>
      <c r="P103" s="2">
        <v>21012334697000</v>
      </c>
      <c r="Q103" s="2">
        <v>19351314244000</v>
      </c>
      <c r="R103" s="2">
        <v>19104024330000</v>
      </c>
      <c r="S103" s="2">
        <v>15701092284000</v>
      </c>
      <c r="T103" s="2">
        <v>14784680218000</v>
      </c>
      <c r="U103" s="2">
        <v>12061689750000</v>
      </c>
      <c r="V103" s="2">
        <v>6093215303000</v>
      </c>
      <c r="W103" s="2">
        <v>4717101673000</v>
      </c>
      <c r="X103" s="2">
        <v>4503149421000</v>
      </c>
      <c r="Y103" s="2">
        <v>4425508836000</v>
      </c>
    </row>
    <row r="104">
      <c r="B104" t="str">
        <v>Total Aset</v>
      </c>
      <c r="C104" s="2">
        <v>63295662000000</v>
      </c>
      <c r="D104" s="2">
        <v>52530405000000</v>
      </c>
      <c r="E104" s="2">
        <v>48074747000000</v>
      </c>
      <c r="F104" s="2">
        <v>48378149000000</v>
      </c>
      <c r="H104" s="2">
        <v>52530405000000</v>
      </c>
      <c r="I104" s="2">
        <v>44522645000000</v>
      </c>
      <c r="J104" s="2">
        <v>42851329000000</v>
      </c>
      <c r="K104" s="2">
        <v>33637271000000</v>
      </c>
      <c r="L104" s="2">
        <v>32916154000000</v>
      </c>
      <c r="M104" s="2">
        <v>31729512995000</v>
      </c>
      <c r="N104" s="2">
        <v>30194907730000</v>
      </c>
      <c r="O104" s="2">
        <v>33306390807000</v>
      </c>
      <c r="P104" s="2">
        <v>30014273452000</v>
      </c>
      <c r="Q104" s="2">
        <v>29981535812000</v>
      </c>
      <c r="R104" s="2">
        <v>30356850890000</v>
      </c>
      <c r="S104" s="2">
        <v>22044202220000</v>
      </c>
      <c r="T104" s="2">
        <v>21865117391000</v>
      </c>
      <c r="U104" s="2">
        <v>19708540946000</v>
      </c>
      <c r="V104" s="2">
        <v>15201235077000</v>
      </c>
      <c r="W104" s="2">
        <v>12310732099000</v>
      </c>
      <c r="X104" s="2">
        <v>9939996438000</v>
      </c>
      <c r="Y104" s="2">
        <v>10245040780000</v>
      </c>
    </row>
    <row r="105">
      <c r="B105" t="str">
        <v>Liabilitas Dan Ekuitas</v>
      </c>
    </row>
    <row r="106">
      <c r="B106" t="str">
        <v>Liabilitas</v>
      </c>
    </row>
    <row r="107">
      <c r="B107" t="str">
        <v>Liabilitas Jangka Pendek</v>
      </c>
      <c r="C107" s="2">
        <v>16797083000000</v>
      </c>
      <c r="D107" s="2">
        <v>9682943000000</v>
      </c>
      <c r="E107" s="2">
        <v>7179273000000</v>
      </c>
      <c r="F107" s="2">
        <v>12089153000000</v>
      </c>
      <c r="H107" s="2">
        <v>9682943000000</v>
      </c>
      <c r="I107" s="2">
        <v>9770898000000</v>
      </c>
      <c r="J107" s="2">
        <v>8576440000000</v>
      </c>
      <c r="K107" s="2">
        <v>5971662000000</v>
      </c>
      <c r="L107" s="2">
        <v>6562383000000</v>
      </c>
      <c r="M107" s="2">
        <v>7553261301000</v>
      </c>
      <c r="N107" s="2">
        <v>5293238393000</v>
      </c>
      <c r="O107" s="2">
        <v>5511744144000</v>
      </c>
      <c r="P107" s="2">
        <v>5552461635000</v>
      </c>
      <c r="Q107" s="2">
        <v>4352313598000</v>
      </c>
      <c r="R107" s="2">
        <v>4339330380000</v>
      </c>
      <c r="S107" s="2">
        <v>3862917319000</v>
      </c>
      <c r="T107" s="2">
        <v>3855511633000</v>
      </c>
      <c r="U107" s="2">
        <v>3041406158000</v>
      </c>
      <c r="V107" s="2">
        <v>855829583000</v>
      </c>
      <c r="W107" s="2">
        <v>1989071312000</v>
      </c>
      <c r="X107" s="2">
        <v>747531096000</v>
      </c>
      <c r="Y107" s="2">
        <v>718198391000</v>
      </c>
    </row>
    <row r="108">
      <c r="B108" t="str">
        <v>Utang Bank Jangka Pen...</v>
      </c>
      <c r="E108" s="2">
        <v>667000000000</v>
      </c>
      <c r="F108" s="2">
        <v>250000000000</v>
      </c>
      <c r="J108" s="2">
        <v>1002040000000</v>
      </c>
      <c r="K108" s="2">
        <v>188772000000</v>
      </c>
      <c r="L108" s="2">
        <v>1088646000000</v>
      </c>
      <c r="M108" s="2">
        <v>1071875750000</v>
      </c>
      <c r="N108" s="2">
        <v>1408101000000</v>
      </c>
      <c r="O108" s="2">
        <v>1452000000000</v>
      </c>
      <c r="P108" s="2">
        <v>2715620000000</v>
      </c>
      <c r="Q108" s="2">
        <v>2687200000000</v>
      </c>
      <c r="R108" s="2">
        <v>2808100000000</v>
      </c>
      <c r="S108" s="2">
        <v>2528041360000</v>
      </c>
      <c r="T108" s="2">
        <v>2469800000000</v>
      </c>
      <c r="U108" s="2">
        <v>1663900000000</v>
      </c>
      <c r="V108" s="2">
        <v>8000000000</v>
      </c>
      <c r="W108" s="2">
        <v>768730500000</v>
      </c>
      <c r="X108" s="2">
        <v>239700000000</v>
      </c>
      <c r="Y108" s="2">
        <v>255500000000</v>
      </c>
    </row>
    <row r="109">
      <c r="B109" t="str">
        <v>Utang Usaha</v>
      </c>
      <c r="C109" s="2">
        <v>1535333000000</v>
      </c>
      <c r="D109" s="2">
        <v>1597954000000</v>
      </c>
      <c r="E109" s="2">
        <v>1616861000000</v>
      </c>
      <c r="F109" s="2">
        <v>1599674000000</v>
      </c>
      <c r="H109" s="2">
        <v>1597954000000</v>
      </c>
      <c r="I109" s="2">
        <v>1771033000000</v>
      </c>
      <c r="J109" s="2">
        <v>1549578000000</v>
      </c>
      <c r="K109" s="2">
        <v>1301565000000</v>
      </c>
      <c r="L109" s="2">
        <v>1399446000000</v>
      </c>
      <c r="M109" s="2">
        <v>672748000000</v>
      </c>
    </row>
    <row r="110">
      <c r="B110" t="str">
        <v>Total Utang Usaha</v>
      </c>
      <c r="C110" s="2">
        <v>1535333000000</v>
      </c>
      <c r="D110" s="2">
        <v>1597954000000</v>
      </c>
      <c r="E110" s="2">
        <v>1616861000000</v>
      </c>
      <c r="F110" s="2">
        <v>1599674000000</v>
      </c>
      <c r="H110" s="2">
        <v>1597954000000</v>
      </c>
      <c r="I110" s="2">
        <v>1771033000000</v>
      </c>
      <c r="J110" s="2">
        <v>1549578000000</v>
      </c>
      <c r="K110" s="2">
        <v>1301565000000</v>
      </c>
      <c r="L110" s="2">
        <v>1399446000000</v>
      </c>
      <c r="M110" s="2">
        <v>672748000000</v>
      </c>
      <c r="N110" s="2">
        <v>739743696000</v>
      </c>
      <c r="O110" s="2">
        <v>1157990961000</v>
      </c>
      <c r="P110" s="2">
        <v>806385201000</v>
      </c>
      <c r="Q110" s="2">
        <v>585725941000</v>
      </c>
      <c r="R110" s="2">
        <v>724094858000</v>
      </c>
      <c r="S110" s="2">
        <v>687476255000</v>
      </c>
      <c r="T110" s="2">
        <v>547080010000</v>
      </c>
      <c r="U110" s="2">
        <v>416953452000</v>
      </c>
      <c r="V110" s="2">
        <v>257594562000</v>
      </c>
      <c r="W110" s="2">
        <v>264657127000</v>
      </c>
      <c r="X110" s="2">
        <v>158510288000</v>
      </c>
      <c r="Y110" s="2">
        <v>130531638000</v>
      </c>
    </row>
    <row r="111">
      <c r="B111" t="str">
        <v>Beban Akrual</v>
      </c>
      <c r="C111" s="2">
        <v>3884974000000</v>
      </c>
      <c r="D111" s="2">
        <v>3575434000000</v>
      </c>
      <c r="E111" s="2">
        <v>1235346000000</v>
      </c>
      <c r="F111" s="2">
        <v>1443318000000</v>
      </c>
      <c r="H111" s="2">
        <v>3575434000000</v>
      </c>
      <c r="I111" s="2">
        <v>1609847000000</v>
      </c>
      <c r="J111" s="2">
        <v>1787341000000</v>
      </c>
      <c r="K111" s="2">
        <v>777836000000</v>
      </c>
      <c r="L111" s="2">
        <v>723302000000</v>
      </c>
      <c r="M111" s="2">
        <v>624041521000</v>
      </c>
      <c r="N111" s="2">
        <v>441970183000</v>
      </c>
      <c r="O111" s="2">
        <v>756944297000</v>
      </c>
      <c r="P111" s="2">
        <v>388295108000</v>
      </c>
      <c r="Q111" s="2">
        <v>214649427000</v>
      </c>
      <c r="R111" s="2">
        <v>251599629000</v>
      </c>
      <c r="S111" s="2">
        <v>161623654000</v>
      </c>
      <c r="T111" s="2">
        <v>331623859000</v>
      </c>
      <c r="U111" s="2">
        <v>414007012000</v>
      </c>
      <c r="V111" s="2">
        <v>379582278000</v>
      </c>
      <c r="W111" s="2">
        <v>420448898000</v>
      </c>
      <c r="X111" s="2">
        <v>227432287000</v>
      </c>
      <c r="Y111" s="2">
        <v>204523461000</v>
      </c>
    </row>
    <row r="112">
      <c r="B112" t="str">
        <v>Utang Pajak</v>
      </c>
      <c r="S112" s="2">
        <v>120169672000</v>
      </c>
      <c r="T112" s="2">
        <v>180599828000</v>
      </c>
      <c r="U112" s="2">
        <v>150007865000</v>
      </c>
      <c r="V112" s="2">
        <v>87685073000</v>
      </c>
      <c r="W112" s="2">
        <v>412061288000</v>
      </c>
      <c r="X112" s="2">
        <v>16425379000</v>
      </c>
      <c r="Y112" s="2">
        <v>20140415000</v>
      </c>
    </row>
    <row r="113">
      <c r="B113" t="str">
        <v>Total Utang Pajak</v>
      </c>
      <c r="C113" s="2">
        <v>1747305000000</v>
      </c>
      <c r="D113" s="2">
        <v>840126000000</v>
      </c>
      <c r="E113" s="2">
        <v>708946000000</v>
      </c>
      <c r="F113" s="2">
        <v>626389000000</v>
      </c>
      <c r="H113" s="2">
        <v>840126000000</v>
      </c>
      <c r="I113" s="2">
        <v>172529000000</v>
      </c>
      <c r="J113" s="2">
        <v>639663000000</v>
      </c>
      <c r="K113" s="2">
        <v>275617000000</v>
      </c>
      <c r="L113" s="2">
        <v>327643000000</v>
      </c>
      <c r="M113" s="2">
        <v>455925240000</v>
      </c>
      <c r="N113" s="2">
        <v>96270146000</v>
      </c>
      <c r="O113" s="2">
        <v>123819266000</v>
      </c>
      <c r="P113" s="2">
        <v>36268950000</v>
      </c>
      <c r="Q113" s="2">
        <v>61481631000</v>
      </c>
      <c r="R113" s="2">
        <v>62779033000</v>
      </c>
      <c r="S113" s="2">
        <v>120169672000</v>
      </c>
      <c r="T113" s="2">
        <v>180599828000</v>
      </c>
      <c r="U113" s="2">
        <v>150007865000</v>
      </c>
      <c r="V113" s="2">
        <v>87685073000</v>
      </c>
      <c r="W113" s="2">
        <v>412061288000</v>
      </c>
      <c r="X113" s="2">
        <v>16425379000</v>
      </c>
      <c r="Y113" s="2">
        <v>20140415000</v>
      </c>
    </row>
    <row r="114">
      <c r="B114" t="str">
        <v>Utang Obligasi</v>
      </c>
      <c r="N114" s="2">
        <v>2098515743000</v>
      </c>
      <c r="O114" s="2">
        <v>2097852666000</v>
      </c>
      <c r="P114" s="2">
        <v>2097246586000</v>
      </c>
      <c r="Q114" s="2">
        <v>2995896341000</v>
      </c>
      <c r="R114" s="2">
        <v>2995030772000</v>
      </c>
      <c r="S114" s="2">
        <v>2994237464000</v>
      </c>
      <c r="T114" s="2">
        <v>2993510374000</v>
      </c>
      <c r="U114" s="2">
        <v>2992843970000</v>
      </c>
      <c r="V114" s="2">
        <v>2992235852000</v>
      </c>
    </row>
    <row r="115">
      <c r="B115" t="str">
        <v>Liabilitas Derivatif</v>
      </c>
      <c r="M115" s="2">
        <v>10292720000</v>
      </c>
      <c r="N115" s="2">
        <v>10041652000</v>
      </c>
      <c r="O115" s="2">
        <v>2620644000</v>
      </c>
    </row>
    <row r="116">
      <c r="B116" t="str">
        <v>Pinjaman Investasi</v>
      </c>
      <c r="J116" s="2">
        <v>881497000000</v>
      </c>
      <c r="K116" s="2">
        <v>2082133000000</v>
      </c>
      <c r="L116" s="2">
        <v>3703354000000</v>
      </c>
      <c r="M116" s="2">
        <v>3387656839000</v>
      </c>
      <c r="N116" s="2">
        <v>3465639144000</v>
      </c>
      <c r="O116" s="2">
        <v>5249741153000</v>
      </c>
      <c r="P116" s="2">
        <v>3200350554000</v>
      </c>
      <c r="Q116" s="2">
        <v>3653536133000</v>
      </c>
      <c r="R116" s="2">
        <v>3927468734000</v>
      </c>
      <c r="S116" s="2">
        <v>2268658242000</v>
      </c>
      <c r="T116" s="2">
        <v>1223734214000</v>
      </c>
      <c r="X116" s="2">
        <v>239700000000</v>
      </c>
      <c r="Y116" s="2">
        <v>558450000000</v>
      </c>
    </row>
    <row r="117">
      <c r="B117" t="str">
        <v>Utang Bank</v>
      </c>
      <c r="C117" s="2">
        <v>5485244000000</v>
      </c>
      <c r="D117" s="2">
        <v>1330000000000</v>
      </c>
      <c r="H117" s="2">
        <v>1330000000000</v>
      </c>
    </row>
    <row r="118">
      <c r="B118" t="str">
        <v>Utang Sewa Pembiayaan</v>
      </c>
      <c r="C118" s="2">
        <v>39255000000</v>
      </c>
      <c r="D118" s="2">
        <v>53956000000</v>
      </c>
      <c r="E118" s="2">
        <v>51026000000</v>
      </c>
      <c r="F118" s="2">
        <v>51905000000</v>
      </c>
      <c r="H118" s="2">
        <v>53956000000</v>
      </c>
      <c r="I118" s="2">
        <v>42357000000</v>
      </c>
      <c r="J118" s="2">
        <v>63486000000</v>
      </c>
      <c r="K118" s="2">
        <v>62641000000</v>
      </c>
      <c r="L118" s="2">
        <v>83710000000</v>
      </c>
      <c r="M118" s="2">
        <v>87795767000</v>
      </c>
    </row>
    <row r="119">
      <c r="B119" t="str">
        <v>Utang Lain-Lain</v>
      </c>
      <c r="C119" s="2">
        <v>235513000000</v>
      </c>
      <c r="D119" s="2">
        <v>330899000000</v>
      </c>
      <c r="E119" s="2">
        <v>262864000000</v>
      </c>
      <c r="F119" s="2">
        <v>261601000000</v>
      </c>
      <c r="H119" s="2">
        <v>330899000000</v>
      </c>
      <c r="I119" s="2">
        <v>359705000000</v>
      </c>
      <c r="J119" s="2">
        <v>450285000000</v>
      </c>
      <c r="K119" s="2">
        <v>473188000000</v>
      </c>
      <c r="L119" s="2">
        <v>609149000000</v>
      </c>
      <c r="M119" s="2">
        <v>656144957000</v>
      </c>
      <c r="N119" s="2">
        <v>706574335000</v>
      </c>
      <c r="O119" s="2">
        <v>435253992000</v>
      </c>
      <c r="P119" s="2">
        <v>59654341000</v>
      </c>
      <c r="Q119" s="2">
        <v>62465512000</v>
      </c>
      <c r="R119" s="2">
        <v>42387538000</v>
      </c>
      <c r="S119" s="2">
        <v>55679758000</v>
      </c>
      <c r="T119" s="2">
        <v>71908862000</v>
      </c>
      <c r="U119" s="2">
        <v>37756594000</v>
      </c>
      <c r="V119" s="2">
        <v>32830173000</v>
      </c>
      <c r="W119" s="2">
        <v>36875899000</v>
      </c>
      <c r="X119" s="2">
        <v>70875303000</v>
      </c>
      <c r="Y119" s="2">
        <v>47600296000</v>
      </c>
    </row>
    <row r="120">
      <c r="B120" t="str">
        <v>Total Liabilitas Jangk...</v>
      </c>
      <c r="C120" s="2">
        <v>6092568000000</v>
      </c>
      <c r="D120" s="2">
        <v>6247576000000</v>
      </c>
      <c r="E120" s="2">
        <v>5698556000000</v>
      </c>
      <c r="F120" s="2">
        <v>2582497000000</v>
      </c>
      <c r="H120" s="2">
        <v>6247576000000</v>
      </c>
      <c r="I120" s="2">
        <v>2552241000000</v>
      </c>
      <c r="J120" s="2">
        <v>3109219000000</v>
      </c>
      <c r="K120" s="2">
        <v>3953549000000</v>
      </c>
      <c r="L120" s="2">
        <v>5516673000000</v>
      </c>
      <c r="M120" s="2">
        <v>5136802669000</v>
      </c>
      <c r="N120" s="2">
        <v>6768250162000</v>
      </c>
      <c r="O120" s="2">
        <v>8055415940000</v>
      </c>
      <c r="P120" s="2">
        <v>5971408300000</v>
      </c>
      <c r="Q120" s="2">
        <v>7220426641000</v>
      </c>
      <c r="R120" s="2">
        <v>7700801548000</v>
      </c>
      <c r="S120" s="2">
        <v>6251723634000</v>
      </c>
      <c r="T120" s="2">
        <v>5216118226000</v>
      </c>
      <c r="U120" s="2">
        <v>3834818732000</v>
      </c>
      <c r="V120" s="2">
        <v>3573361944000</v>
      </c>
      <c r="W120" s="2">
        <v>720825489000</v>
      </c>
      <c r="X120" s="2">
        <v>1000596323000</v>
      </c>
      <c r="Y120" s="2">
        <v>1412771903000</v>
      </c>
    </row>
    <row r="121">
      <c r="B121" t="str">
        <v>Liabilitas Jangka Panjan...</v>
      </c>
      <c r="C121" s="2">
        <v>6092568000000</v>
      </c>
      <c r="D121" s="2">
        <v>6247576000000</v>
      </c>
      <c r="E121" s="2">
        <v>5698556000000</v>
      </c>
      <c r="F121" s="2">
        <v>2582497000000</v>
      </c>
      <c r="H121" s="2">
        <v>6247576000000</v>
      </c>
      <c r="I121" s="2">
        <v>2552241000000</v>
      </c>
      <c r="J121" s="2">
        <v>3109219000000</v>
      </c>
      <c r="K121" s="2">
        <v>3953549000000</v>
      </c>
      <c r="L121" s="2">
        <v>5516673000000</v>
      </c>
      <c r="M121" s="2">
        <v>5136802669000</v>
      </c>
      <c r="N121" s="2">
        <v>6768250162000</v>
      </c>
      <c r="O121" s="2">
        <v>8055415940000</v>
      </c>
      <c r="P121" s="2">
        <v>5971408300000</v>
      </c>
      <c r="Q121" s="2">
        <v>7220426641000</v>
      </c>
      <c r="R121" s="2">
        <v>7700801548000</v>
      </c>
      <c r="S121" s="2">
        <v>6251723634000</v>
      </c>
      <c r="T121" s="2">
        <v>5216118226000</v>
      </c>
      <c r="U121" s="2">
        <v>3834818732000</v>
      </c>
      <c r="V121" s="2">
        <v>3573361944000</v>
      </c>
      <c r="W121" s="2">
        <v>720825489000</v>
      </c>
      <c r="X121" s="2">
        <v>1000596323000</v>
      </c>
      <c r="Y121" s="2">
        <v>1412771903000</v>
      </c>
    </row>
    <row r="122">
      <c r="B122" t="str">
        <v>Utang Jangka Panjang ...</v>
      </c>
      <c r="W122" s="2">
        <v>23934291000</v>
      </c>
      <c r="X122" s="2">
        <v>34008915000</v>
      </c>
      <c r="Y122" s="2">
        <v>37114469000</v>
      </c>
    </row>
    <row r="123">
      <c r="B123" t="str">
        <v>Liabilitas Pajak Tang...</v>
      </c>
      <c r="S123" s="2">
        <v>579734448000</v>
      </c>
      <c r="T123" s="2">
        <v>568114116000</v>
      </c>
      <c r="U123" s="2">
        <v>296357929000</v>
      </c>
    </row>
    <row r="124">
      <c r="B124" t="str">
        <v>Total Liabilitas</v>
      </c>
      <c r="C124" s="2">
        <v>22889651000000</v>
      </c>
      <c r="D124" s="2">
        <v>15930519000000</v>
      </c>
      <c r="E124" s="2">
        <v>12877829000000</v>
      </c>
      <c r="F124" s="2">
        <v>14671650000000</v>
      </c>
      <c r="H124" s="2">
        <v>15930519000000</v>
      </c>
      <c r="I124" s="2">
        <v>12323139000000</v>
      </c>
      <c r="J124" s="2">
        <v>11685659000000</v>
      </c>
      <c r="K124" s="2">
        <v>9925211000000</v>
      </c>
      <c r="L124" s="2">
        <v>12079056000000</v>
      </c>
      <c r="M124" s="2">
        <v>12690063970000</v>
      </c>
      <c r="N124" s="2">
        <v>12061488555000</v>
      </c>
      <c r="O124" s="2">
        <v>13567160084000</v>
      </c>
      <c r="P124" s="2">
        <v>11523869935000</v>
      </c>
      <c r="Q124" s="2">
        <v>11572740239000</v>
      </c>
      <c r="R124" s="2">
        <v>12040131928000</v>
      </c>
      <c r="S124" s="2">
        <v>10114640953000</v>
      </c>
      <c r="T124" s="2">
        <v>9071629859000</v>
      </c>
      <c r="U124" s="2">
        <v>6876224890000</v>
      </c>
      <c r="V124" s="2">
        <v>4429191527000</v>
      </c>
      <c r="W124" s="2">
        <v>2709896801000</v>
      </c>
      <c r="X124" s="2">
        <v>1748127419000</v>
      </c>
      <c r="Y124" s="2">
        <v>2130970294000</v>
      </c>
    </row>
    <row r="125">
      <c r="B125" t="str">
        <v>Ekuitas</v>
      </c>
    </row>
    <row r="126">
      <c r="B126" t="str">
        <v>Modal Saham</v>
      </c>
      <c r="C126" s="2">
        <v>2403076000000</v>
      </c>
      <c r="D126" s="2">
        <v>2403076000000</v>
      </c>
      <c r="E126" s="2">
        <v>2403076000000</v>
      </c>
      <c r="F126" s="2">
        <v>2403076000000</v>
      </c>
      <c r="H126" s="2">
        <v>2403076000000</v>
      </c>
      <c r="I126" s="2">
        <v>2403076000000</v>
      </c>
      <c r="J126" s="2">
        <v>2403076000000</v>
      </c>
      <c r="K126" s="2">
        <v>2403076000000</v>
      </c>
      <c r="L126" s="2">
        <v>2403076000000</v>
      </c>
      <c r="M126" s="2">
        <v>2403076473000</v>
      </c>
      <c r="N126" s="2">
        <v>2403076473000</v>
      </c>
      <c r="O126" s="2">
        <v>2403076473000</v>
      </c>
      <c r="P126" s="2">
        <v>2403076473000</v>
      </c>
      <c r="Q126" s="2">
        <v>2403076473000</v>
      </c>
      <c r="R126" s="2">
        <v>2403076473000</v>
      </c>
      <c r="S126" s="2">
        <v>953845975000</v>
      </c>
      <c r="T126" s="2">
        <v>953845975000</v>
      </c>
      <c r="U126" s="2">
        <v>953845975000</v>
      </c>
      <c r="V126" s="2">
        <v>953845975000</v>
      </c>
      <c r="W126" s="2">
        <v>953845975000</v>
      </c>
      <c r="X126" s="2">
        <v>953845975000</v>
      </c>
      <c r="Y126" s="2">
        <v>953845975000</v>
      </c>
    </row>
    <row r="127">
      <c r="B127" t="str">
        <v>Tambahan Modal Disetor</v>
      </c>
      <c r="C127" s="2">
        <v>9696068000000</v>
      </c>
      <c r="D127" s="2">
        <v>9696068000000</v>
      </c>
      <c r="E127" s="2">
        <v>9696068000000</v>
      </c>
      <c r="F127" s="2">
        <v>9696068000000</v>
      </c>
      <c r="H127" s="2">
        <v>9696068000000</v>
      </c>
      <c r="I127" s="2">
        <v>9696068000000</v>
      </c>
      <c r="J127" s="2">
        <v>9696068000000</v>
      </c>
      <c r="K127" s="2">
        <v>3934833000000</v>
      </c>
      <c r="L127" s="2">
        <v>3934833000000</v>
      </c>
      <c r="M127" s="2">
        <v>3934833124000</v>
      </c>
      <c r="N127" s="2">
        <v>3934833124000</v>
      </c>
      <c r="O127" s="2">
        <v>3934833124000</v>
      </c>
      <c r="P127" s="2">
        <v>3934833124000</v>
      </c>
      <c r="Q127" s="2">
        <v>3934833124000</v>
      </c>
      <c r="R127" s="2">
        <v>3934833124000</v>
      </c>
      <c r="S127" s="2">
        <v>29817600000</v>
      </c>
      <c r="T127" s="2">
        <v>29704906000</v>
      </c>
      <c r="U127" s="2">
        <v>8370273000</v>
      </c>
      <c r="V127" s="2">
        <v>2526309000</v>
      </c>
      <c r="W127" s="2">
        <v>2526309000</v>
      </c>
      <c r="X127" s="2">
        <v>2526309000</v>
      </c>
      <c r="Y127" s="2">
        <v>2526309000</v>
      </c>
    </row>
    <row r="128">
      <c r="B128" t="str">
        <v>Saldo Laba</v>
      </c>
      <c r="C128" s="2">
        <v>22187857000000</v>
      </c>
      <c r="D128" s="2">
        <v>18781075000000</v>
      </c>
      <c r="E128" s="2">
        <v>17309794000000</v>
      </c>
      <c r="F128" s="2">
        <v>16034498000000</v>
      </c>
      <c r="H128" s="2">
        <v>18781075000000</v>
      </c>
      <c r="I128" s="2">
        <v>14985766000000</v>
      </c>
      <c r="J128" s="2">
        <v>14389642000000</v>
      </c>
      <c r="K128" s="2">
        <v>13142512000000</v>
      </c>
      <c r="L128" s="2">
        <v>10271507000000</v>
      </c>
      <c r="M128" s="2">
        <v>8786064046000</v>
      </c>
      <c r="N128" s="2">
        <v>7912776028000</v>
      </c>
      <c r="O128" s="2">
        <v>10591179044000</v>
      </c>
      <c r="P128" s="2">
        <v>9765721053000</v>
      </c>
      <c r="Q128" s="2">
        <v>9685248716000</v>
      </c>
      <c r="R128" s="2">
        <v>9593047837000</v>
      </c>
      <c r="S128" s="2">
        <v>10890769511000</v>
      </c>
      <c r="T128" s="2">
        <v>11758293770000</v>
      </c>
      <c r="U128" s="2">
        <v>11748920056000</v>
      </c>
      <c r="V128" s="2">
        <v>9700470953000</v>
      </c>
      <c r="W128" s="2">
        <v>8508827679000</v>
      </c>
      <c r="X128" s="2">
        <v>7091322806000</v>
      </c>
      <c r="Y128" s="2">
        <v>7054793471000</v>
      </c>
    </row>
    <row r="129">
      <c r="B129" t="str">
        <v>Telah Ditentukan Peng...</v>
      </c>
      <c r="C129" s="2">
        <v>480615000000</v>
      </c>
      <c r="D129" s="2">
        <v>480615000000</v>
      </c>
      <c r="E129" s="2">
        <v>480615000000</v>
      </c>
      <c r="F129" s="2">
        <v>480615000000</v>
      </c>
      <c r="H129" s="2">
        <v>480615000000</v>
      </c>
      <c r="I129" s="2">
        <v>480615000000</v>
      </c>
      <c r="J129" s="2">
        <v>480615000000</v>
      </c>
      <c r="K129" s="2">
        <v>480615000000</v>
      </c>
      <c r="L129" s="2">
        <v>480615000000</v>
      </c>
      <c r="M129" s="2">
        <v>480615295000</v>
      </c>
      <c r="N129" s="2">
        <v>480615295000</v>
      </c>
      <c r="O129" s="2">
        <v>9113209777000</v>
      </c>
      <c r="P129" s="2">
        <v>11613209777000</v>
      </c>
      <c r="Q129" s="2">
        <v>11613209777000</v>
      </c>
      <c r="R129" s="2">
        <v>11613209777000</v>
      </c>
      <c r="S129" s="2">
        <v>11613209777000</v>
      </c>
      <c r="T129" s="2">
        <v>11295503087000</v>
      </c>
      <c r="U129" s="2">
        <v>8751355353000</v>
      </c>
      <c r="V129" s="2">
        <v>7768131683000</v>
      </c>
      <c r="W129" s="2">
        <v>6825427687000</v>
      </c>
      <c r="X129" s="2">
        <v>6487015718000</v>
      </c>
      <c r="Y129" s="2">
        <v>5686654306000</v>
      </c>
    </row>
    <row r="130">
      <c r="B130" t="str">
        <v>Belum Ditentukan Peng...</v>
      </c>
      <c r="C130" s="2">
        <v>21707242000000</v>
      </c>
      <c r="D130" s="2">
        <v>18300460000000</v>
      </c>
      <c r="E130" s="2">
        <v>16829179000000</v>
      </c>
      <c r="F130" s="2">
        <v>15553883000000</v>
      </c>
      <c r="H130" s="2">
        <v>18300460000000</v>
      </c>
      <c r="I130" s="2">
        <v>14505151000000</v>
      </c>
      <c r="J130" s="2">
        <v>13909027000000</v>
      </c>
      <c r="K130" s="2">
        <v>12661897000000</v>
      </c>
      <c r="L130" s="2">
        <v>9790892000000</v>
      </c>
      <c r="M130" s="2">
        <v>8305448751000</v>
      </c>
      <c r="N130" s="2">
        <v>7432160733000</v>
      </c>
      <c r="O130" s="2">
        <v>1477969267000</v>
      </c>
      <c r="P130" s="2">
        <v>-1847488724000</v>
      </c>
      <c r="Q130" s="2">
        <v>-1927961061000</v>
      </c>
      <c r="R130" s="2">
        <v>-2020161940000</v>
      </c>
      <c r="S130" s="2">
        <v>-722440266000</v>
      </c>
      <c r="T130" s="2">
        <v>462790683000</v>
      </c>
      <c r="U130" s="2">
        <v>2997564703000</v>
      </c>
      <c r="V130" s="2">
        <v>1932339270000</v>
      </c>
      <c r="W130" s="2">
        <v>1683399992000</v>
      </c>
      <c r="X130" s="2">
        <v>604307088000</v>
      </c>
      <c r="Y130" s="2">
        <v>1368139165000</v>
      </c>
    </row>
    <row r="131">
      <c r="B131" t="str">
        <v>Total Saldo Laba</v>
      </c>
      <c r="C131" s="2">
        <v>22187857000000</v>
      </c>
      <c r="D131" s="2">
        <v>18781075000000</v>
      </c>
      <c r="E131" s="2">
        <v>17309794000000</v>
      </c>
      <c r="F131" s="2">
        <v>16034498000000</v>
      </c>
      <c r="H131" s="2">
        <v>18781075000000</v>
      </c>
      <c r="I131" s="2">
        <v>14985766000000</v>
      </c>
      <c r="J131" s="2">
        <v>14389642000000</v>
      </c>
      <c r="K131" s="2">
        <v>13142512000000</v>
      </c>
      <c r="L131" s="2">
        <v>10271507000000</v>
      </c>
      <c r="M131" s="2">
        <v>8786064046000</v>
      </c>
      <c r="N131" s="2">
        <v>7912776028000</v>
      </c>
      <c r="O131" s="2">
        <v>10591179044000</v>
      </c>
      <c r="P131" s="2">
        <v>9765721053000</v>
      </c>
      <c r="Q131" s="2">
        <v>9685248716000</v>
      </c>
      <c r="R131" s="2">
        <v>9593047837000</v>
      </c>
      <c r="S131" s="2">
        <v>10890769511000</v>
      </c>
      <c r="T131" s="2">
        <v>11758293770000</v>
      </c>
      <c r="U131" s="2">
        <v>11748920056000</v>
      </c>
      <c r="V131" s="2">
        <v>9700470953000</v>
      </c>
      <c r="W131" s="2">
        <v>8508827679000</v>
      </c>
      <c r="X131" s="2">
        <v>7091322806000</v>
      </c>
      <c r="Y131" s="2">
        <v>7054793471000</v>
      </c>
    </row>
    <row r="132">
      <c r="B132" t="str">
        <v>Kepentingan Non Pengenda...</v>
      </c>
      <c r="C132" s="2">
        <v>1559008000000</v>
      </c>
      <c r="D132" s="2">
        <v>1301679000000</v>
      </c>
      <c r="E132" s="2">
        <v>1379021000000</v>
      </c>
      <c r="F132" s="2">
        <v>1188494000000</v>
      </c>
      <c r="H132" s="2">
        <v>1301679000000</v>
      </c>
      <c r="I132" s="2">
        <v>741393000000</v>
      </c>
      <c r="J132" s="2">
        <v>522475000000</v>
      </c>
      <c r="K132" s="2">
        <v>17000000</v>
      </c>
      <c r="L132" s="2">
        <v>18000000</v>
      </c>
      <c r="M132" s="2">
        <v>20744000</v>
      </c>
      <c r="N132" s="2">
        <v>19854000</v>
      </c>
      <c r="O132" s="2">
        <v>18970000</v>
      </c>
      <c r="P132" s="2">
        <v>17407000</v>
      </c>
      <c r="Q132" s="2">
        <v>20920000</v>
      </c>
      <c r="R132" s="2">
        <v>25057000</v>
      </c>
      <c r="S132" s="2">
        <v>26158000</v>
      </c>
      <c r="T132" s="2">
        <v>25614000</v>
      </c>
      <c r="U132" s="2">
        <v>22360000</v>
      </c>
      <c r="V132" s="2">
        <v>9411000</v>
      </c>
      <c r="W132" s="2">
        <v>20737073000</v>
      </c>
      <c r="X132" s="2">
        <v>42929529000</v>
      </c>
      <c r="Y132" s="2">
        <v>50932665000</v>
      </c>
    </row>
    <row r="133">
      <c r="B133" t="str">
        <v>Total Ekuitas</v>
      </c>
      <c r="C133" s="2">
        <v>40406011000000</v>
      </c>
      <c r="D133" s="2">
        <v>36599886000000</v>
      </c>
      <c r="E133" s="2">
        <v>35196918000000</v>
      </c>
      <c r="F133" s="2">
        <v>33706499000000</v>
      </c>
      <c r="H133" s="2">
        <v>36599886000000</v>
      </c>
      <c r="I133" s="2">
        <v>32199506000000</v>
      </c>
      <c r="J133" s="2">
        <v>31165670000000</v>
      </c>
      <c r="K133" s="2">
        <v>23712060000000</v>
      </c>
      <c r="L133" s="2">
        <v>20837098000000</v>
      </c>
      <c r="M133" s="2">
        <v>19039449025000</v>
      </c>
      <c r="N133" s="2">
        <v>18133419175000</v>
      </c>
      <c r="O133" s="2">
        <v>19739230723000</v>
      </c>
      <c r="P133" s="2">
        <v>18490403517000</v>
      </c>
      <c r="Q133" s="2">
        <v>18408795573000</v>
      </c>
      <c r="R133" s="2">
        <v>18316718962000</v>
      </c>
      <c r="S133" s="2">
        <v>11929561267000</v>
      </c>
      <c r="T133" s="2">
        <v>12793487532000</v>
      </c>
      <c r="U133" s="2">
        <v>12832316056000</v>
      </c>
      <c r="V133" s="2">
        <v>10772043550000</v>
      </c>
      <c r="W133" s="2">
        <v>9600835298000</v>
      </c>
      <c r="X133" s="2">
        <v>8191869019000</v>
      </c>
      <c r="Y133" s="2">
        <v>8114070486000</v>
      </c>
    </row>
    <row r="134">
      <c r="B134" t="str">
        <v>Total Liabilitas Dan Ekuitas</v>
      </c>
      <c r="C134" s="2">
        <v>63295662000000</v>
      </c>
      <c r="D134" s="2">
        <v>52530405000000</v>
      </c>
      <c r="E134" s="2">
        <v>48074747000000</v>
      </c>
      <c r="F134" s="2">
        <v>48378149000000</v>
      </c>
      <c r="H134" s="2">
        <v>52530405000000</v>
      </c>
      <c r="I134" s="2">
        <v>44522645000000</v>
      </c>
      <c r="J134" s="2">
        <v>42851329000000</v>
      </c>
      <c r="K134" s="2">
        <v>33637271000000</v>
      </c>
      <c r="L134" s="2">
        <v>32916154000000</v>
      </c>
      <c r="M134" s="2">
        <v>31729512995000</v>
      </c>
      <c r="N134" s="2">
        <v>30194907730000</v>
      </c>
      <c r="O134" s="2">
        <v>33306390807000</v>
      </c>
      <c r="P134" s="2">
        <v>30014273452000</v>
      </c>
      <c r="Q134" s="2">
        <v>29981535812000</v>
      </c>
      <c r="R134" s="2">
        <v>30356850890000</v>
      </c>
      <c r="S134" s="2">
        <v>22044202220000</v>
      </c>
      <c r="T134" s="2">
        <v>21865117391000</v>
      </c>
      <c r="U134" s="2">
        <v>19708540946000</v>
      </c>
      <c r="V134" s="2">
        <v>15201235077000</v>
      </c>
      <c r="W134" s="2">
        <v>12310732099000</v>
      </c>
      <c r="X134" s="2">
        <v>9939996438000</v>
      </c>
      <c r="Y134" s="2">
        <v>10245040780000</v>
      </c>
    </row>
    <row r="135">
      <c r="B135" t="str">
        <v>Saham Beredar</v>
      </c>
      <c r="C135" s="2">
        <v>24030764725</v>
      </c>
      <c r="D135" s="2">
        <v>24030764725</v>
      </c>
      <c r="E135" s="2">
        <v>24030764725</v>
      </c>
      <c r="F135" s="2">
        <v>24030764725</v>
      </c>
      <c r="H135" s="2">
        <v>24030764725</v>
      </c>
      <c r="I135" s="2">
        <v>24030764725</v>
      </c>
      <c r="J135" s="2">
        <v>24030764725</v>
      </c>
      <c r="K135" s="2">
        <v>24030764725</v>
      </c>
      <c r="L135" s="2">
        <v>24030764725</v>
      </c>
      <c r="M135" s="2">
        <v>24030764725</v>
      </c>
      <c r="N135" s="2">
        <v>24030764725</v>
      </c>
      <c r="O135" s="2">
        <v>24030764725</v>
      </c>
      <c r="P135" s="2">
        <v>24030764725</v>
      </c>
      <c r="Q135" s="2">
        <v>24030764725</v>
      </c>
      <c r="R135" s="2">
        <v>24030764725</v>
      </c>
      <c r="S135" s="2">
        <v>9538459749</v>
      </c>
      <c r="T135" s="2">
        <v>9538459749</v>
      </c>
      <c r="U135" s="2">
        <v>9538459749</v>
      </c>
      <c r="V135" s="2">
        <v>9538459749</v>
      </c>
      <c r="W135" s="2">
        <v>9538459749</v>
      </c>
      <c r="X135" s="2">
        <v>9538459749</v>
      </c>
      <c r="Y135" s="2">
        <v>9538459749</v>
      </c>
    </row>
    <row r="137">
      <c r="A137" t="str">
        <v>Cash Flow</v>
      </c>
      <c r="B137" t="str">
        <v>Arus Kas Dari Aktivitas Operasi</v>
      </c>
      <c r="C137" s="2">
        <v>-3154169000000</v>
      </c>
      <c r="D137" s="2">
        <v>831959000000</v>
      </c>
      <c r="E137" s="2">
        <v>1746066000000</v>
      </c>
      <c r="F137" s="2">
        <v>193181000000</v>
      </c>
      <c r="H137" s="2">
        <v>4853256000000</v>
      </c>
      <c r="I137" s="2">
        <v>3681115000000</v>
      </c>
      <c r="J137" s="2">
        <v>4357302000000</v>
      </c>
      <c r="K137" s="2">
        <v>4108037000000</v>
      </c>
      <c r="L137" s="2">
        <v>5042665000000</v>
      </c>
      <c r="M137" s="2">
        <v>2218674280000</v>
      </c>
      <c r="N137" s="2">
        <v>1633837222000</v>
      </c>
      <c r="O137" s="2">
        <v>1874578431000</v>
      </c>
      <c r="P137" s="2">
        <v>1379176412000</v>
      </c>
      <c r="Q137" s="2">
        <v>1015391750000</v>
      </c>
      <c r="R137" s="2">
        <v>488904984000</v>
      </c>
      <c r="S137" s="2">
        <v>391684676000</v>
      </c>
      <c r="T137" s="2">
        <v>157236346000</v>
      </c>
      <c r="U137" s="2">
        <v>890602351000</v>
      </c>
      <c r="V137" s="2">
        <v>1567957001000</v>
      </c>
      <c r="W137" s="2">
        <v>2004573531000</v>
      </c>
      <c r="X137" s="2">
        <v>1004174188000</v>
      </c>
      <c r="Y137" s="2">
        <v>1137316193000</v>
      </c>
    </row>
    <row r="138">
      <c r="B138" t="str">
        <v>Penerimaan Kas Dari Pelan...</v>
      </c>
      <c r="C138" s="2">
        <v>30616723000000</v>
      </c>
      <c r="D138" s="2">
        <v>12333977000000</v>
      </c>
      <c r="E138" s="2">
        <v>11801814000000</v>
      </c>
      <c r="F138" s="2">
        <v>29357817000000</v>
      </c>
      <c r="H138" s="2">
        <v>80569649000000</v>
      </c>
      <c r="I138" s="2">
        <v>72444817000000</v>
      </c>
      <c r="J138" s="2">
        <v>42004017000000</v>
      </c>
      <c r="K138" s="2">
        <v>45065127000000</v>
      </c>
      <c r="L138" s="2">
        <v>38780292000000</v>
      </c>
      <c r="M138" s="2">
        <v>27417076150000</v>
      </c>
      <c r="N138" s="2">
        <v>32502238389000</v>
      </c>
      <c r="O138" s="2">
        <v>25547387115000</v>
      </c>
      <c r="P138" s="2">
        <v>12239306888000</v>
      </c>
      <c r="Q138" s="2">
        <v>8841691124000</v>
      </c>
      <c r="R138" s="2">
        <v>11099298878000</v>
      </c>
      <c r="S138" s="2">
        <v>9372115558000</v>
      </c>
      <c r="T138" s="2">
        <v>12100310592000</v>
      </c>
      <c r="U138" s="2">
        <v>10058244598000</v>
      </c>
      <c r="V138" s="2">
        <v>10762308459000</v>
      </c>
      <c r="W138" s="2">
        <v>7919932022000</v>
      </c>
      <c r="X138" s="2">
        <v>8338364981000</v>
      </c>
      <c r="Y138" s="2">
        <v>10699250207000</v>
      </c>
    </row>
    <row r="139">
      <c r="B139" t="str">
        <v>Penerimaan Bunga</v>
      </c>
      <c r="C139" s="2">
        <v>69104000000</v>
      </c>
      <c r="D139" s="2">
        <v>65638000000</v>
      </c>
      <c r="E139" s="2">
        <v>80175000000</v>
      </c>
      <c r="F139" s="2">
        <v>129696000000</v>
      </c>
      <c r="H139" s="2">
        <v>365167000000</v>
      </c>
      <c r="I139" s="2">
        <v>412657000000</v>
      </c>
      <c r="J139" s="2">
        <v>170524000000</v>
      </c>
      <c r="K139" s="2">
        <v>74315000000</v>
      </c>
      <c r="L139" s="2">
        <v>76238000000</v>
      </c>
      <c r="M139" s="2">
        <v>81141670000</v>
      </c>
      <c r="N139" s="2">
        <v>96157723000</v>
      </c>
      <c r="O139" s="2">
        <v>165630043000</v>
      </c>
      <c r="P139" s="2">
        <v>262588507000</v>
      </c>
      <c r="Q139" s="2">
        <v>335506495000</v>
      </c>
      <c r="R139" s="2">
        <v>66926702000</v>
      </c>
      <c r="S139" s="2">
        <v>69142290000</v>
      </c>
      <c r="T139" s="2">
        <v>85768689000</v>
      </c>
      <c r="U139" s="2">
        <v>174170208000</v>
      </c>
      <c r="V139" s="2">
        <v>66115082000</v>
      </c>
      <c r="W139" s="2">
        <v>60504874000</v>
      </c>
      <c r="X139" s="2">
        <v>155983781000</v>
      </c>
      <c r="Y139" s="2">
        <v>170334263000</v>
      </c>
    </row>
    <row r="140">
      <c r="B140" t="str">
        <v>Penerimaan Kas Dari Resti...</v>
      </c>
      <c r="D140" s="2">
        <v>25578000000</v>
      </c>
      <c r="E140" s="2">
        <v>458525000000</v>
      </c>
      <c r="H140" s="2">
        <v>484103000000</v>
      </c>
      <c r="I140" s="2">
        <v>65261000000</v>
      </c>
      <c r="J140" s="2">
        <v>450789000000</v>
      </c>
      <c r="K140" s="2">
        <v>164583000000</v>
      </c>
      <c r="L140" s="2">
        <v>407990000000</v>
      </c>
      <c r="M140" s="2">
        <v>412911627000</v>
      </c>
      <c r="N140" s="2">
        <v>353918278000</v>
      </c>
    </row>
    <row r="141">
      <c r="B141" t="str">
        <v>Pembayaran Kas Kepada Pem...</v>
      </c>
      <c r="C141" s="2">
        <v>-31951899000000</v>
      </c>
      <c r="D141" s="2">
        <v>-10042732000000</v>
      </c>
      <c r="E141" s="2">
        <v>-9326738000000</v>
      </c>
      <c r="F141" s="2">
        <v>-27450608000000</v>
      </c>
      <c r="H141" s="2">
        <v>-70110592000000</v>
      </c>
      <c r="I141" s="2">
        <v>-62970785000000</v>
      </c>
      <c r="J141" s="2">
        <v>-32510012000000</v>
      </c>
      <c r="K141" s="2">
        <v>-36041200000000</v>
      </c>
      <c r="L141" s="2">
        <v>-29620228000000</v>
      </c>
      <c r="M141" s="2">
        <v>-22631109192000</v>
      </c>
      <c r="N141" s="2">
        <v>-28289848891000</v>
      </c>
      <c r="O141" s="2">
        <v>-21393706262000</v>
      </c>
      <c r="P141" s="2">
        <v>-9772810344000</v>
      </c>
      <c r="Q141" s="2">
        <v>-7278447325000</v>
      </c>
      <c r="R141" s="2">
        <v>-9757388947000</v>
      </c>
      <c r="S141" s="2">
        <v>-8126101763000</v>
      </c>
      <c r="T141" s="2">
        <v>-10154298982000</v>
      </c>
      <c r="U141" s="2">
        <v>-5906479723000</v>
      </c>
      <c r="V141" s="2">
        <v>-7437952568000</v>
      </c>
      <c r="W141" s="2">
        <v>-5308406714000</v>
      </c>
      <c r="X141" s="2">
        <v>-6746307851000</v>
      </c>
      <c r="Y141" s="2">
        <v>-7034467154000</v>
      </c>
    </row>
    <row r="142">
      <c r="B142" t="str">
        <v>Pembayaran Kepada Komisar...</v>
      </c>
      <c r="C142" s="2">
        <v>-947131000000</v>
      </c>
      <c r="D142" s="2">
        <v>-567520000000</v>
      </c>
      <c r="E142" s="2">
        <v>-345055000000</v>
      </c>
      <c r="F142" s="2">
        <v>-503285000000</v>
      </c>
      <c r="H142" s="2">
        <v>-2112148000000</v>
      </c>
      <c r="I142" s="2">
        <v>-2053906000000</v>
      </c>
      <c r="J142" s="2">
        <v>-2280373000000</v>
      </c>
      <c r="K142" s="2">
        <v>-1670046000000</v>
      </c>
      <c r="L142" s="2">
        <v>-2305659000000</v>
      </c>
      <c r="M142" s="2">
        <v>-1611712979000</v>
      </c>
      <c r="N142" s="2">
        <v>-1549571203000</v>
      </c>
      <c r="O142" s="2">
        <v>-1224228892000</v>
      </c>
      <c r="P142" s="2">
        <v>-916259496000</v>
      </c>
      <c r="Q142" s="2">
        <v>-860793576000</v>
      </c>
      <c r="R142" s="2">
        <v>-914685014000</v>
      </c>
      <c r="S142" s="2">
        <v>-979300745000</v>
      </c>
      <c r="T142" s="2">
        <v>-1070706960000</v>
      </c>
      <c r="U142" s="2">
        <v>-2415277493000</v>
      </c>
      <c r="V142" s="2">
        <v>-936878854000</v>
      </c>
      <c r="W142" s="2">
        <v>-647017176000</v>
      </c>
      <c r="X142" s="2">
        <v>-665717026000</v>
      </c>
      <c r="Y142" s="2">
        <v>-756754778000</v>
      </c>
    </row>
    <row r="143">
      <c r="B143" t="str">
        <v>Pembayaran Pajak</v>
      </c>
      <c r="C143" s="2">
        <v>-340660000000</v>
      </c>
      <c r="D143" s="2">
        <v>-1766359000000</v>
      </c>
      <c r="F143" s="2">
        <v>574778000000</v>
      </c>
      <c r="H143" s="2">
        <v>-1766359000000</v>
      </c>
      <c r="I143" s="2">
        <v>-2192984000000</v>
      </c>
      <c r="J143" s="2">
        <v>-1005688000000</v>
      </c>
      <c r="K143" s="2">
        <v>-1590785000000</v>
      </c>
      <c r="L143" s="2">
        <v>-1092873000000</v>
      </c>
      <c r="M143" s="2">
        <v>-335390894000</v>
      </c>
      <c r="N143" s="2">
        <v>-734464694000</v>
      </c>
      <c r="O143" s="2">
        <v>-551348245000</v>
      </c>
      <c r="P143" s="2">
        <v>-195949984000</v>
      </c>
      <c r="Q143" s="2">
        <v>-99862217000</v>
      </c>
      <c r="R143" s="2">
        <v>-145946527000</v>
      </c>
      <c r="S143" s="2">
        <v>-202969401000</v>
      </c>
      <c r="T143" s="2">
        <v>-467808240000</v>
      </c>
      <c r="U143" s="2">
        <v>-904884217000</v>
      </c>
      <c r="V143" s="2">
        <v>-1061311374000</v>
      </c>
      <c r="W143" s="2">
        <v>-379534789000</v>
      </c>
      <c r="X143" s="2">
        <v>-242973768000</v>
      </c>
      <c r="Y143" s="2">
        <v>-1990740752000</v>
      </c>
    </row>
    <row r="144">
      <c r="B144" t="str">
        <v>Pembayaran Biaya Transaks...</v>
      </c>
      <c r="D144" s="2">
        <v>48873000000</v>
      </c>
      <c r="E144" s="2">
        <v>-48873000000</v>
      </c>
    </row>
    <row r="145">
      <c r="B145" t="str">
        <v>Pembayaran Pajak Lain-Lai...</v>
      </c>
      <c r="C145" s="2">
        <v>-554378000000</v>
      </c>
      <c r="F145" s="2">
        <v>449413000000</v>
      </c>
      <c r="M145" s="2">
        <v>-437196524000</v>
      </c>
      <c r="N145" s="2">
        <v>-313606867000</v>
      </c>
      <c r="O145" s="2">
        <v>-312762511000</v>
      </c>
      <c r="P145" s="2">
        <v>-174112420000</v>
      </c>
    </row>
    <row r="146">
      <c r="B146" t="str">
        <v>Pembayaran Pajak Badan</v>
      </c>
      <c r="D146" s="2">
        <v>1403335000000</v>
      </c>
      <c r="E146" s="2">
        <v>-221237000000</v>
      </c>
      <c r="F146" s="2">
        <v>-1182098000000</v>
      </c>
    </row>
    <row r="147">
      <c r="B147" t="str">
        <v>Pembayaran Pajak Dan Retr...</v>
      </c>
      <c r="D147" s="2">
        <v>-637685000000</v>
      </c>
      <c r="E147" s="2">
        <v>-611100000000</v>
      </c>
      <c r="F147" s="2">
        <v>-1116870000000</v>
      </c>
      <c r="H147" s="2">
        <v>-2365655000000</v>
      </c>
      <c r="I147" s="2">
        <v>-1613093000000</v>
      </c>
      <c r="J147" s="2">
        <v>-2012611000000</v>
      </c>
      <c r="K147" s="2">
        <v>-1448745000000</v>
      </c>
      <c r="L147" s="2">
        <v>-1063503000000</v>
      </c>
    </row>
    <row r="148">
      <c r="B148" t="str">
        <v>Pembayaran Bunga</v>
      </c>
      <c r="C148" s="2">
        <v>-45928000000</v>
      </c>
      <c r="D148" s="2">
        <v>-23512000000</v>
      </c>
      <c r="E148" s="2">
        <v>-14341000000</v>
      </c>
      <c r="H148" s="2">
        <v>-37853000000</v>
      </c>
      <c r="I148" s="2">
        <v>-130153000000</v>
      </c>
      <c r="J148" s="2">
        <v>-226414000000</v>
      </c>
      <c r="K148" s="2">
        <v>-189182000000</v>
      </c>
      <c r="L148" s="2">
        <v>-297829000000</v>
      </c>
      <c r="M148" s="2">
        <v>-400293200000</v>
      </c>
      <c r="N148" s="2">
        <v>-530882408000</v>
      </c>
      <c r="O148" s="2">
        <v>-524548812000</v>
      </c>
      <c r="P148" s="2">
        <v>-484229818000</v>
      </c>
      <c r="Q148" s="2">
        <v>-505710587000</v>
      </c>
      <c r="R148" s="2">
        <v>-527461401000</v>
      </c>
      <c r="S148" s="2">
        <v>-375755378000</v>
      </c>
      <c r="T148" s="2">
        <v>-317054555000</v>
      </c>
      <c r="U148" s="2">
        <v>-273892532000</v>
      </c>
      <c r="V148" s="2">
        <v>-10897724000</v>
      </c>
      <c r="W148" s="2">
        <v>-12342513000</v>
      </c>
      <c r="X148" s="2">
        <v>-48060861000</v>
      </c>
      <c r="Y148" s="2">
        <v>-49324454000</v>
      </c>
    </row>
    <row r="149">
      <c r="B149" t="str">
        <v>(Pengembalian Atas)/Pener...</v>
      </c>
      <c r="M149" s="2">
        <v>-161142729000</v>
      </c>
    </row>
    <row r="150">
      <c r="B150" t="str">
        <v>Penerimaan Dari Jaminan K...</v>
      </c>
    </row>
    <row r="151">
      <c r="B151" t="str">
        <v>Pembayaran Premi Asuransi</v>
      </c>
      <c r="D151" s="2">
        <v>-55239000000</v>
      </c>
      <c r="F151" s="2">
        <v>-73599000000</v>
      </c>
      <c r="H151" s="2">
        <v>-186502000000</v>
      </c>
      <c r="I151" s="2">
        <v>-229614000000</v>
      </c>
      <c r="J151" s="2">
        <v>-189244000000</v>
      </c>
      <c r="K151" s="2">
        <v>-180613000000</v>
      </c>
      <c r="L151" s="2">
        <v>-184253000000</v>
      </c>
      <c r="M151" s="2">
        <v>-140215771000</v>
      </c>
    </row>
    <row r="152">
      <c r="B152" t="str">
        <v>Penerimaan Kas Dari Pajak...</v>
      </c>
      <c r="P152" s="2">
        <v>233963560000</v>
      </c>
    </row>
    <row r="153">
      <c r="B153" t="str">
        <v>Penerimaan Kas Dari Pengh...</v>
      </c>
      <c r="J153" s="2">
        <v>4598000000</v>
      </c>
      <c r="K153" s="2">
        <v>2462000000</v>
      </c>
      <c r="L153" s="2">
        <v>44670000000</v>
      </c>
      <c r="M153" s="2">
        <v>49077213000</v>
      </c>
      <c r="X153" s="2">
        <v>119126316000</v>
      </c>
      <c r="Y153" s="2">
        <v>15845655000</v>
      </c>
    </row>
    <row r="154">
      <c r="B154" t="str">
        <v>Penerimaan Kas Dari Denda...</v>
      </c>
    </row>
    <row r="155">
      <c r="B155" t="str">
        <v>Penurunan (Kenaikan) Kas ...</v>
      </c>
      <c r="S155" s="2">
        <v>89568477000</v>
      </c>
      <c r="T155" s="2">
        <v>-26118857000</v>
      </c>
      <c r="U155" s="2">
        <v>7698167000</v>
      </c>
      <c r="V155" s="2">
        <v>13135272000</v>
      </c>
      <c r="W155" s="2">
        <v>27989166000</v>
      </c>
      <c r="X155" s="2">
        <v>34849181000</v>
      </c>
      <c r="Y155" s="2">
        <v>-158549964000</v>
      </c>
    </row>
    <row r="156">
      <c r="B156" t="str">
        <v>Pembayaran Lain-Lain - Be...</v>
      </c>
      <c r="D156" s="2">
        <v>35623000000</v>
      </c>
      <c r="E156" s="2">
        <v>-28568000000</v>
      </c>
      <c r="F156" s="2">
        <v>7937000000</v>
      </c>
      <c r="I156" s="2">
        <v>-69881000000</v>
      </c>
      <c r="J156" s="2">
        <v>-78219000000</v>
      </c>
      <c r="K156" s="2">
        <v>-81800000000</v>
      </c>
      <c r="L156" s="2">
        <v>-109357000000</v>
      </c>
      <c r="M156" s="2">
        <v>-31114353000</v>
      </c>
      <c r="N156" s="2">
        <v>13462715000</v>
      </c>
      <c r="O156" s="2">
        <v>69347686000</v>
      </c>
      <c r="P156" s="2">
        <v>44233770000</v>
      </c>
      <c r="Q156" s="2">
        <v>38979028000</v>
      </c>
      <c r="R156" s="2">
        <v>151881195000</v>
      </c>
      <c r="S156" s="2">
        <v>-83371259000</v>
      </c>
      <c r="T156" s="2">
        <v>-43458683000</v>
      </c>
      <c r="U156" s="2">
        <v>-38554658000</v>
      </c>
      <c r="V156" s="2">
        <v>40492164000</v>
      </c>
      <c r="W156" s="2">
        <v>-22791626000</v>
      </c>
      <c r="X156" s="2">
        <v>-11960792000</v>
      </c>
      <c r="Y156" s="2">
        <v>150988988000</v>
      </c>
    </row>
    <row r="157">
      <c r="B157" t="str">
        <v>Adjustment</v>
      </c>
    </row>
    <row r="158">
      <c r="B158" t="str">
        <v>Total Arus Kas Dari Aktivitas...</v>
      </c>
      <c r="C158" s="2">
        <v>4109867000000</v>
      </c>
      <c r="D158" s="2">
        <v>458972000000</v>
      </c>
      <c r="E158" s="2">
        <v>-353970000000</v>
      </c>
      <c r="F158" s="2">
        <v>219010000000</v>
      </c>
      <c r="H158" s="2">
        <v>299870000000</v>
      </c>
      <c r="I158" s="2">
        <v>-5720858000000</v>
      </c>
      <c r="J158" s="2">
        <v>-2427768000000</v>
      </c>
      <c r="K158" s="2">
        <v>-4077783000000</v>
      </c>
      <c r="L158" s="2">
        <v>-2221595000000</v>
      </c>
      <c r="M158" s="2">
        <v>-1218455889000</v>
      </c>
      <c r="N158" s="2">
        <v>-1363159711000</v>
      </c>
      <c r="O158" s="2">
        <v>-619759898000</v>
      </c>
      <c r="P158" s="2">
        <v>-568358413000</v>
      </c>
      <c r="Q158" s="2">
        <v>-26840072000</v>
      </c>
      <c r="R158" s="2">
        <v>6887375528000</v>
      </c>
      <c r="S158" s="2">
        <v>956082001000</v>
      </c>
      <c r="T158" s="2">
        <v>887255635000</v>
      </c>
      <c r="U158" s="2">
        <v>694416788000</v>
      </c>
      <c r="V158" s="2">
        <v>1535129650000</v>
      </c>
      <c r="W158" s="2">
        <v>42875112000</v>
      </c>
      <c r="X158" s="2">
        <v>-800459116000</v>
      </c>
      <c r="Y158" s="2">
        <v>-2361531312000</v>
      </c>
    </row>
    <row r="159">
      <c r="B159" t="str">
        <v>Arus Kas Dari Aktivitas Investa...</v>
      </c>
      <c r="C159" s="2">
        <v>-349658000000</v>
      </c>
      <c r="D159" s="2">
        <v>-2099695000000</v>
      </c>
      <c r="E159" s="2">
        <v>-2695377000000</v>
      </c>
      <c r="F159" s="2">
        <v>3205681000000</v>
      </c>
      <c r="H159" s="2">
        <v>-1506766000000</v>
      </c>
      <c r="I159" s="2">
        <v>-2637219000000</v>
      </c>
      <c r="J159" s="2">
        <v>2865002000000</v>
      </c>
      <c r="K159" s="2">
        <v>-783125000000</v>
      </c>
      <c r="L159" s="2">
        <v>-1729827000000</v>
      </c>
      <c r="M159" s="2">
        <v>-567381567000</v>
      </c>
      <c r="N159" s="2">
        <v>-885313400000</v>
      </c>
      <c r="O159" s="2">
        <v>-2593809364000</v>
      </c>
      <c r="P159" s="2">
        <v>-2890561357000</v>
      </c>
      <c r="Q159" s="2">
        <v>-1382046458000</v>
      </c>
      <c r="R159" s="2">
        <v>-2103884552000</v>
      </c>
      <c r="S159" s="2">
        <v>-1639021756000</v>
      </c>
      <c r="T159" s="2">
        <v>-2647226091000</v>
      </c>
      <c r="U159" s="2">
        <v>-3495941139000</v>
      </c>
      <c r="V159" s="2">
        <v>-1609433549000</v>
      </c>
      <c r="W159" s="2">
        <v>-430014991000</v>
      </c>
      <c r="X159" s="2">
        <v>-464963515000</v>
      </c>
      <c r="Y159" s="2">
        <v>-359230649000</v>
      </c>
    </row>
    <row r="160">
      <c r="B160" t="str">
        <v>Penghasilan Dividen</v>
      </c>
      <c r="D160" s="2">
        <v>181755000000</v>
      </c>
      <c r="H160" s="2">
        <v>181755000000</v>
      </c>
      <c r="I160" s="2">
        <v>569042000000</v>
      </c>
      <c r="J160" s="2">
        <v>1263395000000</v>
      </c>
      <c r="N160" s="2">
        <v>331724138000</v>
      </c>
      <c r="O160" s="2">
        <v>219692558000</v>
      </c>
      <c r="P160" s="2">
        <v>171944592000</v>
      </c>
      <c r="Q160" s="2">
        <v>87317417000</v>
      </c>
      <c r="R160" s="2">
        <v>226172252000</v>
      </c>
      <c r="S160" s="2">
        <v>437105650000</v>
      </c>
      <c r="T160" s="2">
        <v>69034671000</v>
      </c>
      <c r="U160" s="2">
        <v>323221931000</v>
      </c>
      <c r="V160" s="2">
        <v>325585041000</v>
      </c>
      <c r="W160" s="2">
        <v>343388915000</v>
      </c>
      <c r="X160" s="2">
        <v>138403686000</v>
      </c>
      <c r="Y160" s="2">
        <v>165064391000</v>
      </c>
    </row>
    <row r="161">
      <c r="B161" t="str">
        <v>Penempatan Deposito Berja...</v>
      </c>
      <c r="C161" s="2">
        <v>-853924000000</v>
      </c>
      <c r="D161" s="2">
        <v>252217000000</v>
      </c>
      <c r="F161" s="2">
        <v>-200000000000</v>
      </c>
      <c r="J161" s="2">
        <v>-6398246000000</v>
      </c>
      <c r="K161" s="2">
        <v>-2316950000000</v>
      </c>
      <c r="L161" s="2">
        <v>-963918000000</v>
      </c>
    </row>
    <row r="162">
      <c r="B162" t="str">
        <v>Penerimaan Deposito Berja...</v>
      </c>
      <c r="C162" s="2">
        <v>610000000000</v>
      </c>
      <c r="D162" s="2">
        <v>-2426575000000</v>
      </c>
      <c r="E162" s="2">
        <v>86034000000</v>
      </c>
      <c r="F162" s="2">
        <v>4100605000000</v>
      </c>
      <c r="H162" s="2">
        <v>2188017000000</v>
      </c>
      <c r="I162" s="2">
        <v>559963000000</v>
      </c>
      <c r="J162" s="2">
        <v>2244787000000</v>
      </c>
      <c r="K162" s="2">
        <v>2308826000000</v>
      </c>
    </row>
    <row r="163">
      <c r="B163" t="str">
        <v>Penerimaan Dari Utang Lai...</v>
      </c>
      <c r="O163" s="2">
        <v>368850000000</v>
      </c>
    </row>
    <row r="164">
      <c r="B164" t="str">
        <v>Perolehan Aset Tetap</v>
      </c>
      <c r="C164" s="2">
        <v>-74735000000</v>
      </c>
      <c r="D164" s="2">
        <v>-169187000000</v>
      </c>
      <c r="E164" s="2">
        <v>-66240000000</v>
      </c>
      <c r="F164" s="2">
        <v>32993000000</v>
      </c>
      <c r="H164" s="2">
        <v>-430528000000</v>
      </c>
      <c r="I164" s="2">
        <v>-972085000000</v>
      </c>
      <c r="J164" s="2">
        <v>-1226904000000</v>
      </c>
      <c r="K164" s="2">
        <v>-627748000000</v>
      </c>
      <c r="L164" s="2">
        <v>-429060000000</v>
      </c>
      <c r="M164" s="2">
        <v>-506759269000</v>
      </c>
      <c r="N164" s="2">
        <v>-1137324142000</v>
      </c>
      <c r="O164" s="2">
        <v>-2137853867000</v>
      </c>
      <c r="P164" s="2">
        <v>-2321508104000</v>
      </c>
      <c r="Q164" s="2">
        <v>-1176884041000</v>
      </c>
      <c r="R164" s="2">
        <v>-1737740720000</v>
      </c>
      <c r="S164" s="2">
        <v>-2029767918000</v>
      </c>
      <c r="T164" s="2">
        <v>-2442914390000</v>
      </c>
      <c r="U164" s="2">
        <v>-2249361358000</v>
      </c>
      <c r="V164" s="2">
        <v>-675402832000</v>
      </c>
      <c r="W164" s="2">
        <v>-560340434000</v>
      </c>
      <c r="X164" s="2">
        <v>-449433519000</v>
      </c>
      <c r="Y164" s="2">
        <v>-302385936000</v>
      </c>
    </row>
    <row r="165">
      <c r="B165" t="str">
        <v>Pengeluaran Aset Takberwu...</v>
      </c>
      <c r="C165" s="2">
        <v>-8778000000</v>
      </c>
      <c r="D165" s="2">
        <v>39034000000</v>
      </c>
      <c r="E165" s="2">
        <v>-31025000000</v>
      </c>
      <c r="F165" s="2">
        <v>-19496000000</v>
      </c>
      <c r="H165" s="2">
        <v>-32682000000</v>
      </c>
      <c r="I165" s="2">
        <v>-45351000000</v>
      </c>
    </row>
    <row r="166">
      <c r="B166" t="str">
        <v>Perolehan Investasi Pada ...</v>
      </c>
      <c r="R166" s="2">
        <v>-285447834000</v>
      </c>
      <c r="V166" s="2">
        <v>-962169891000</v>
      </c>
    </row>
    <row r="167">
      <c r="B167" t="str">
        <v>Peningkatan Investasi Sah...</v>
      </c>
      <c r="K167" s="2">
        <v>-64000000000</v>
      </c>
      <c r="L167" s="2">
        <v>-258951000000</v>
      </c>
      <c r="M167" s="2">
        <v>-190000000000</v>
      </c>
      <c r="N167" s="2">
        <v>-50000000000</v>
      </c>
      <c r="O167" s="2">
        <v>-80051000000</v>
      </c>
      <c r="P167" s="2">
        <v>-15000000000</v>
      </c>
    </row>
    <row r="168">
      <c r="B168" t="str">
        <v>Pembayaran Uang Muka Inve...</v>
      </c>
      <c r="D168" s="2">
        <v>3407326000000</v>
      </c>
      <c r="E168" s="2">
        <v>-3407326000000</v>
      </c>
      <c r="J168" s="2">
        <v>-38250000000</v>
      </c>
    </row>
    <row r="169">
      <c r="B169" t="str">
        <v>Pelepasan Entitas Anak</v>
      </c>
      <c r="J169" s="2">
        <v>7232659000000</v>
      </c>
    </row>
    <row r="170">
      <c r="B170" t="str">
        <v>Penerimaan Kas Dari Penju...</v>
      </c>
      <c r="D170" s="2">
        <v>219357000000</v>
      </c>
      <c r="H170" s="2">
        <v>219357000000</v>
      </c>
      <c r="I170" s="2">
        <v>460180000000</v>
      </c>
    </row>
    <row r="171">
      <c r="B171" t="str">
        <v>Pengeluaran Beban Tangguh...</v>
      </c>
    </row>
    <row r="172">
      <c r="B172" t="str">
        <v>Pengeluaran Untuk Utang L...</v>
      </c>
    </row>
    <row r="173">
      <c r="B173" t="str">
        <v>Pengeluaran Untuk Propert...</v>
      </c>
      <c r="C173" s="2">
        <v>-388000000</v>
      </c>
      <c r="J173" s="2">
        <v>-5920000000</v>
      </c>
      <c r="K173" s="2">
        <v>-10826000000</v>
      </c>
    </row>
    <row r="174">
      <c r="B174" t="str">
        <v>Penerimaan Aset Keuangan ...</v>
      </c>
    </row>
    <row r="175">
      <c r="B175" t="str">
        <v>Penerimaan Dividen Dari E...</v>
      </c>
      <c r="D175" s="2">
        <v>-98436000000</v>
      </c>
      <c r="F175" s="2">
        <v>98436000000</v>
      </c>
    </row>
    <row r="176">
      <c r="B176" t="str">
        <v>Penambahan Aset Eksploras...</v>
      </c>
      <c r="C176" s="2">
        <v>-21833000000</v>
      </c>
      <c r="D176" s="2">
        <v>-97861000000</v>
      </c>
      <c r="E176" s="2">
        <v>-45394000000</v>
      </c>
      <c r="F176" s="2">
        <v>-49076000000</v>
      </c>
      <c r="H176" s="2">
        <v>-236153000000</v>
      </c>
      <c r="I176" s="2">
        <v>-206830000000</v>
      </c>
      <c r="J176" s="2">
        <v>-206519000000</v>
      </c>
      <c r="K176" s="2">
        <v>-62042000000</v>
      </c>
      <c r="L176" s="2">
        <v>-71788000000</v>
      </c>
      <c r="M176" s="2">
        <v>-57927942000</v>
      </c>
      <c r="N176" s="2">
        <v>-83595648000</v>
      </c>
      <c r="O176" s="2">
        <v>-4847510000</v>
      </c>
      <c r="P176" s="2">
        <v>-3081983000</v>
      </c>
      <c r="Q176" s="2">
        <v>-40877130000</v>
      </c>
      <c r="R176" s="2">
        <v>-55749476000</v>
      </c>
      <c r="S176" s="2">
        <v>-2397467000</v>
      </c>
      <c r="T176" s="2">
        <v>-125085489000</v>
      </c>
      <c r="U176" s="2">
        <v>-30201619000</v>
      </c>
      <c r="V176" s="2">
        <v>-223674915000</v>
      </c>
      <c r="W176" s="2">
        <v>-120959942000</v>
      </c>
      <c r="X176" s="2">
        <v>-126178079000</v>
      </c>
      <c r="Y176" s="2">
        <v>-187035485000</v>
      </c>
    </row>
    <row r="177">
      <c r="B177" t="str">
        <v>Penambahan Properti Perta...</v>
      </c>
      <c r="N177" s="2">
        <v>-14467291000</v>
      </c>
      <c r="O177" s="2">
        <v>-1416126000</v>
      </c>
      <c r="P177" s="2">
        <v>-27697963000</v>
      </c>
      <c r="Q177" s="2">
        <v>-1581310000</v>
      </c>
      <c r="R177" s="2">
        <v>-7335622000</v>
      </c>
      <c r="S177" s="2">
        <v>-35352736000</v>
      </c>
      <c r="T177" s="2">
        <v>-112028707000</v>
      </c>
      <c r="U177" s="2">
        <v>-281299305000</v>
      </c>
    </row>
    <row r="178">
      <c r="B178" t="str">
        <v>Hasil Penjualan Aset Teta...</v>
      </c>
      <c r="D178" s="2">
        <v>1000000</v>
      </c>
      <c r="E178" s="2">
        <v>10793000000</v>
      </c>
      <c r="H178" s="2">
        <v>10794000000</v>
      </c>
      <c r="L178" s="2">
        <v>4477000000</v>
      </c>
      <c r="M178" s="2">
        <v>71731045000</v>
      </c>
      <c r="N178" s="2">
        <v>69272357000</v>
      </c>
      <c r="P178" s="2">
        <v>2277201000</v>
      </c>
      <c r="Q178" s="2">
        <v>475225000</v>
      </c>
      <c r="V178" s="2">
        <v>82797300000</v>
      </c>
      <c r="Y178" s="2">
        <v>1855000000</v>
      </c>
    </row>
    <row r="179">
      <c r="B179" t="str">
        <v>Pemberian Pinjaman Ke Per...</v>
      </c>
      <c r="T179" s="2">
        <v>-33732176000</v>
      </c>
    </row>
    <row r="180">
      <c r="B180" t="str">
        <v>Penerimaan Dari Disposal ...</v>
      </c>
    </row>
    <row r="181">
      <c r="B181" t="str">
        <v>Penerimaan Atas Penjualan...</v>
      </c>
    </row>
    <row r="182">
      <c r="B182" t="str">
        <v>Pemberian Pinjaman Ke Pen...</v>
      </c>
    </row>
    <row r="183">
      <c r="B183" t="str">
        <v>Investasi Saham</v>
      </c>
      <c r="O183" s="2">
        <v>326458000000</v>
      </c>
      <c r="P183" s="2">
        <v>11250000000</v>
      </c>
    </row>
    <row r="184">
      <c r="B184" t="str">
        <v>Penambahan Beban Ditanggu...</v>
      </c>
      <c r="K184" s="2">
        <v>-10385000000</v>
      </c>
      <c r="L184" s="2">
        <v>-10587000000</v>
      </c>
      <c r="M184" s="2">
        <v>-7717658000</v>
      </c>
      <c r="N184" s="2">
        <v>-922814000</v>
      </c>
      <c r="O184" s="2">
        <v>-18917895000</v>
      </c>
      <c r="P184" s="2">
        <v>-12244137000</v>
      </c>
      <c r="Q184" s="2">
        <v>-11201793000</v>
      </c>
      <c r="R184" s="2">
        <v>-20078851000</v>
      </c>
      <c r="S184" s="2">
        <v>-8581785000</v>
      </c>
      <c r="X184" s="2">
        <v>-8764494000</v>
      </c>
      <c r="Y184" s="2">
        <v>-10461638000</v>
      </c>
    </row>
    <row r="185">
      <c r="B185" t="str">
        <v>Biaya Transaksi Terkait D...</v>
      </c>
      <c r="O185" s="2">
        <v>-30028420000</v>
      </c>
    </row>
    <row r="186">
      <c r="B186" t="str">
        <v>Pengeluaran Untuk Aset Ti...</v>
      </c>
      <c r="O186" s="2">
        <v>-368850000000</v>
      </c>
    </row>
    <row r="187">
      <c r="B187" t="str">
        <v>Pembelian Surat Berharga</v>
      </c>
    </row>
    <row r="188">
      <c r="B188" t="str">
        <v>Investasi Dalam Saham</v>
      </c>
    </row>
    <row r="189">
      <c r="B189" t="str">
        <v>Uang Muka Pembelian Saham</v>
      </c>
    </row>
    <row r="190">
      <c r="B190" t="str">
        <v>Pinjaman Ke Entitas Asosi...</v>
      </c>
      <c r="I190" s="2">
        <v>-406136000000</v>
      </c>
      <c r="O190" s="2">
        <v>-782516038000</v>
      </c>
      <c r="P190" s="2">
        <v>-696500963000</v>
      </c>
      <c r="Q190" s="2">
        <v>-239294826000</v>
      </c>
      <c r="R190" s="2">
        <v>-223654301000</v>
      </c>
    </row>
    <row r="191">
      <c r="B191" t="str">
        <v>Akuisisi Entitas Anak Mel...</v>
      </c>
      <c r="O191" s="2">
        <v>284520934000</v>
      </c>
      <c r="V191" s="2">
        <v>-109518890000</v>
      </c>
    </row>
    <row r="192">
      <c r="B192" t="str">
        <v>Pembayaran Lain-Lain</v>
      </c>
      <c r="I192" s="2">
        <v>-141837000000</v>
      </c>
    </row>
    <row r="193">
      <c r="B193" t="str">
        <v>Arus Kas Dari Aktivitas Pendana...</v>
      </c>
      <c r="C193" s="2">
        <v>4109867000000</v>
      </c>
      <c r="D193" s="2">
        <v>458972000000</v>
      </c>
      <c r="E193" s="2">
        <v>-353970000000</v>
      </c>
      <c r="F193" s="2">
        <v>219010000000</v>
      </c>
      <c r="H193" s="2">
        <v>299870000000</v>
      </c>
      <c r="I193" s="2">
        <v>-5720858000000</v>
      </c>
      <c r="J193" s="2">
        <v>-2427768000000</v>
      </c>
      <c r="K193" s="2">
        <v>-4077783000000</v>
      </c>
      <c r="L193" s="2">
        <v>-2221595000000</v>
      </c>
      <c r="M193" s="2">
        <v>-1218455889000</v>
      </c>
      <c r="N193" s="2">
        <v>-1363159711000</v>
      </c>
      <c r="O193" s="2">
        <v>-619759898000</v>
      </c>
      <c r="P193" s="2">
        <v>-568358413000</v>
      </c>
      <c r="Q193" s="2">
        <v>-26840072000</v>
      </c>
      <c r="R193" s="2">
        <v>6887375528000</v>
      </c>
      <c r="S193" s="2">
        <v>956082001000</v>
      </c>
      <c r="T193" s="2">
        <v>887255635000</v>
      </c>
      <c r="U193" s="2">
        <v>694416788000</v>
      </c>
      <c r="V193" s="2">
        <v>1535129650000</v>
      </c>
      <c r="W193" s="2">
        <v>42875112000</v>
      </c>
      <c r="X193" s="2">
        <v>-800459116000</v>
      </c>
      <c r="Y193" s="2">
        <v>-2361531312000</v>
      </c>
    </row>
    <row r="194">
      <c r="B194" t="str">
        <v>Penerimaan Pinjaman Bank ...</v>
      </c>
      <c r="C194" s="2">
        <v>8916092000000</v>
      </c>
      <c r="D194" s="2">
        <v>2887150000000</v>
      </c>
      <c r="H194" s="2">
        <v>2887150000000</v>
      </c>
    </row>
    <row r="195">
      <c r="B195" t="str">
        <v>Penerimaan Pinjaman Inves...</v>
      </c>
      <c r="L195" s="2">
        <v>1600000000000</v>
      </c>
      <c r="N195" s="2">
        <v>1825317661000</v>
      </c>
    </row>
    <row r="196">
      <c r="B196" t="str">
        <v>Pembayaran Pinjaman Inves...</v>
      </c>
      <c r="I196" s="2">
        <v>-1534050000000</v>
      </c>
      <c r="J196" s="2">
        <v>-1267679000000</v>
      </c>
      <c r="K196" s="2">
        <v>-2132164000000</v>
      </c>
      <c r="L196" s="2">
        <v>-1230117000000</v>
      </c>
      <c r="M196" s="2">
        <v>-765009747000</v>
      </c>
      <c r="N196" s="2">
        <v>-2904827111000</v>
      </c>
    </row>
    <row r="197">
      <c r="B197" t="str">
        <v>Kontribusi Modal Dari Kep...</v>
      </c>
      <c r="U197" s="2">
        <v>12200000</v>
      </c>
    </row>
    <row r="198">
      <c r="B198" t="str">
        <v>Pembayaran Dividen</v>
      </c>
      <c r="D198" s="2">
        <v>-1000000</v>
      </c>
      <c r="E198" s="2">
        <v>-3647210000000</v>
      </c>
      <c r="H198" s="2">
        <v>-3647211000000</v>
      </c>
      <c r="I198" s="2">
        <v>-3077646000000</v>
      </c>
      <c r="J198" s="2">
        <v>-1910482000000</v>
      </c>
      <c r="K198" s="2">
        <v>-930871000000</v>
      </c>
      <c r="L198" s="2">
        <v>-402273000000</v>
      </c>
      <c r="M198" s="2">
        <v>-67847901000</v>
      </c>
      <c r="N198" s="2">
        <v>-306048761000</v>
      </c>
      <c r="O198" s="2">
        <v>-47777374000</v>
      </c>
      <c r="S198" s="2">
        <v>-92237426000</v>
      </c>
      <c r="T198" s="2">
        <v>-448967247000</v>
      </c>
      <c r="U198" s="2">
        <v>-867550297000</v>
      </c>
      <c r="V198" s="2">
        <v>-673359997000</v>
      </c>
      <c r="W198" s="2">
        <v>-241722835000</v>
      </c>
      <c r="X198" s="2">
        <v>-547255666000</v>
      </c>
      <c r="Y198" s="2">
        <v>-2052984177000</v>
      </c>
    </row>
    <row r="199">
      <c r="B199" t="str">
        <v>Pembayaran Pinjaman Bank</v>
      </c>
      <c r="D199" s="2">
        <v>-1066340000000</v>
      </c>
      <c r="E199" s="2">
        <v>-2298585000000</v>
      </c>
      <c r="H199" s="2">
        <v>-3364925000000</v>
      </c>
      <c r="I199" s="2">
        <v>-2237184000000</v>
      </c>
      <c r="J199" s="2">
        <v>-712413000000</v>
      </c>
      <c r="K199" s="2">
        <v>-2428811000000</v>
      </c>
      <c r="L199" s="2">
        <v>-1197831000000</v>
      </c>
      <c r="M199" s="2">
        <v>-2436549039000</v>
      </c>
      <c r="N199" s="2">
        <v>-4326801500000</v>
      </c>
      <c r="O199" s="2">
        <v>-6263031093000</v>
      </c>
      <c r="P199" s="2">
        <v>-5233358413000</v>
      </c>
      <c r="Q199" s="2">
        <v>-5782020072000</v>
      </c>
      <c r="R199" s="2">
        <v>-5566175610000</v>
      </c>
      <c r="S199" s="2">
        <v>-3317105423000</v>
      </c>
      <c r="T199" s="2">
        <v>-3281114176000</v>
      </c>
      <c r="U199" s="2">
        <v>-20000000000</v>
      </c>
      <c r="V199" s="2">
        <v>-1430063590000</v>
      </c>
      <c r="W199" s="2">
        <v>-230689769000</v>
      </c>
      <c r="X199" s="2">
        <v>-232681363000</v>
      </c>
      <c r="Y199" s="2">
        <v>-243787387000</v>
      </c>
    </row>
    <row r="200">
      <c r="B200" t="str">
        <v>Pembayaran Utang Obligasi</v>
      </c>
      <c r="L200" s="2">
        <v>-2100000000000</v>
      </c>
      <c r="O200" s="2">
        <v>-900000000000</v>
      </c>
    </row>
    <row r="201">
      <c r="B201" t="str">
        <v>Pembayaran Liabilitas Sew...</v>
      </c>
      <c r="C201" s="2">
        <v>-27260000000</v>
      </c>
      <c r="D201" s="2">
        <v>-39607000000</v>
      </c>
      <c r="E201" s="2">
        <v>-22078000000</v>
      </c>
      <c r="F201" s="2">
        <v>-30990000000</v>
      </c>
      <c r="H201" s="2">
        <v>-116817000000</v>
      </c>
      <c r="I201" s="2">
        <v>-122328000000</v>
      </c>
      <c r="J201" s="2">
        <v>-80954000000</v>
      </c>
      <c r="K201" s="2">
        <v>-102663000000</v>
      </c>
      <c r="L201" s="2">
        <v>-96541000000</v>
      </c>
      <c r="M201" s="2">
        <v>-63484641000</v>
      </c>
    </row>
    <row r="202">
      <c r="B202" t="str">
        <v>Pembayaran Dividen Kas Ol...</v>
      </c>
      <c r="D202" s="2">
        <v>-164473000000</v>
      </c>
      <c r="H202" s="2">
        <v>-164473000000</v>
      </c>
    </row>
    <row r="203">
      <c r="B203" t="str">
        <v>Pembayaran Untuk Alokasi ...</v>
      </c>
      <c r="U203" s="2">
        <v>-77115582000</v>
      </c>
      <c r="V203" s="2">
        <v>-67336000000</v>
      </c>
      <c r="W203" s="2">
        <v>-24172284000</v>
      </c>
      <c r="X203" s="2">
        <v>-20522087000</v>
      </c>
      <c r="Y203" s="2">
        <v>-51324605000</v>
      </c>
    </row>
    <row r="204">
      <c r="B204" t="str">
        <v>Pembayaran Pembelian Kemb...</v>
      </c>
      <c r="Y204" s="2">
        <v>-13435143000</v>
      </c>
    </row>
    <row r="205">
      <c r="B205" t="str">
        <v>Penerimaan Atas Penerbita...</v>
      </c>
      <c r="R205" s="2">
        <v>5354246022000</v>
      </c>
    </row>
    <row r="206">
      <c r="B206" t="str">
        <v>Penerimaan Modal Dari Kep...</v>
      </c>
      <c r="D206" s="2">
        <v>13178000000</v>
      </c>
      <c r="H206" s="2">
        <v>13178000000</v>
      </c>
      <c r="I206" s="2">
        <v>13910000000</v>
      </c>
    </row>
    <row r="207">
      <c r="B207" t="str">
        <v>Penerimaan Utang Obligasi</v>
      </c>
      <c r="V207" s="2">
        <v>3000000000000</v>
      </c>
    </row>
    <row r="208">
      <c r="B208" t="str">
        <v>Kenaikan (Penurunan) Bersih Kas...</v>
      </c>
      <c r="C208" s="2">
        <v>606040000000</v>
      </c>
      <c r="D208" s="2">
        <v>-808764000000</v>
      </c>
      <c r="E208" s="2">
        <v>-1303281000000</v>
      </c>
      <c r="F208" s="2">
        <v>3617872000000</v>
      </c>
      <c r="H208" s="2">
        <v>3646360000000</v>
      </c>
      <c r="I208" s="2">
        <v>-4676962000000</v>
      </c>
      <c r="J208" s="2">
        <v>4794536000000</v>
      </c>
      <c r="K208" s="2">
        <v>-752871000000</v>
      </c>
      <c r="L208" s="2">
        <v>1091243000000</v>
      </c>
      <c r="M208" s="2">
        <v>432836824000</v>
      </c>
      <c r="N208" s="2">
        <v>-614635889000</v>
      </c>
      <c r="O208" s="2">
        <v>-1338990831000</v>
      </c>
      <c r="P208" s="2">
        <v>-2079743358000</v>
      </c>
      <c r="Q208" s="2">
        <v>-393494780000</v>
      </c>
      <c r="R208" s="2">
        <v>5272395960000</v>
      </c>
      <c r="S208" s="2">
        <v>-291255079000</v>
      </c>
      <c r="T208" s="2">
        <v>-1602734110000</v>
      </c>
      <c r="U208" s="2">
        <v>-1910922000000</v>
      </c>
      <c r="V208" s="2">
        <v>1493653102000</v>
      </c>
      <c r="W208" s="2">
        <v>1617433652000</v>
      </c>
      <c r="X208" s="2">
        <v>-261248443000</v>
      </c>
      <c r="Y208" s="2">
        <v>-1583445768000</v>
      </c>
    </row>
    <row r="209">
      <c r="B209" t="str">
        <v>Kas Dan Setara Kas Awal Periode</v>
      </c>
      <c r="C209" s="2">
        <v>8433610000000</v>
      </c>
      <c r="H209" s="2">
        <v>4751621000000</v>
      </c>
      <c r="I209" s="2">
        <v>9208814000000</v>
      </c>
      <c r="J209" s="2">
        <v>4476491000000</v>
      </c>
      <c r="K209" s="2">
        <v>5089160000000</v>
      </c>
      <c r="L209" s="2">
        <v>3984388000000</v>
      </c>
      <c r="M209" s="2">
        <v>3636243080000</v>
      </c>
      <c r="N209" s="2">
        <v>4299068085000</v>
      </c>
      <c r="O209" s="2">
        <v>5550677020000</v>
      </c>
      <c r="P209" s="2">
        <v>7623385438000</v>
      </c>
      <c r="Q209" s="2">
        <v>8086634372000</v>
      </c>
      <c r="R209" s="2">
        <v>2618910283000</v>
      </c>
      <c r="S209" s="2">
        <v>2792737848000</v>
      </c>
      <c r="T209" s="2">
        <v>3868574769000</v>
      </c>
      <c r="U209" s="2">
        <v>5639678574000</v>
      </c>
      <c r="V209" s="2">
        <v>4229101514000</v>
      </c>
      <c r="W209" s="2">
        <v>2773582727000</v>
      </c>
      <c r="X209" s="2">
        <v>3284218532000</v>
      </c>
      <c r="Y209" s="2">
        <v>4743875109000</v>
      </c>
    </row>
    <row r="210">
      <c r="B210" t="str">
        <v>Dampak Neto Perubahan Nilai Tuk...</v>
      </c>
      <c r="C210" s="2">
        <v>-1142000000</v>
      </c>
      <c r="D210" s="2">
        <v>-19497000000</v>
      </c>
      <c r="E210" s="2">
        <v>51427000000</v>
      </c>
      <c r="F210" s="2">
        <v>-20024000000</v>
      </c>
      <c r="H210" s="2">
        <v>35629000000</v>
      </c>
      <c r="I210" s="2">
        <v>219769000000</v>
      </c>
      <c r="J210" s="2">
        <v>-62213000000</v>
      </c>
      <c r="K210" s="2">
        <v>140202000000</v>
      </c>
      <c r="L210" s="2">
        <v>13529000000</v>
      </c>
      <c r="M210" s="2">
        <v>-84692257000</v>
      </c>
      <c r="N210" s="2">
        <v>-48189116000</v>
      </c>
      <c r="O210" s="2">
        <v>87381896000</v>
      </c>
      <c r="P210" s="2">
        <v>7034940000</v>
      </c>
      <c r="Q210" s="2">
        <v>-69754154000</v>
      </c>
      <c r="R210" s="2">
        <v>195328129000</v>
      </c>
      <c r="S210" s="2">
        <v>117427514000</v>
      </c>
      <c r="T210" s="2">
        <v>526897189000</v>
      </c>
      <c r="U210" s="2">
        <v>139818195000</v>
      </c>
      <c r="V210" s="2">
        <v>-83076042000</v>
      </c>
      <c r="W210" s="2">
        <v>-82773642000</v>
      </c>
      <c r="X210" s="2">
        <v>-249387362000</v>
      </c>
      <c r="Y210" s="2">
        <v>123789191000</v>
      </c>
    </row>
    <row r="211">
      <c r="B211" t="str">
        <v>Kas Dan Setara Kas Akhir Period...</v>
      </c>
      <c r="C211" s="2">
        <v>9038508000000</v>
      </c>
      <c r="D211" s="2">
        <v>-828261000000</v>
      </c>
      <c r="E211" s="2">
        <v>-1251854000000</v>
      </c>
      <c r="F211" s="2">
        <v>3597848000000</v>
      </c>
      <c r="H211" s="2">
        <v>8433610000000</v>
      </c>
      <c r="I211" s="2">
        <v>4751621000000</v>
      </c>
      <c r="J211" s="2">
        <v>9208814000000</v>
      </c>
      <c r="K211" s="2">
        <v>4476491000000</v>
      </c>
      <c r="L211" s="2">
        <v>5089160000000</v>
      </c>
      <c r="M211" s="2">
        <v>3984387647000</v>
      </c>
      <c r="N211" s="2">
        <v>3636243080000</v>
      </c>
      <c r="O211" s="2">
        <v>4299068085000</v>
      </c>
      <c r="P211" s="2">
        <v>5550677020000</v>
      </c>
      <c r="Q211" s="2">
        <v>7623385438000</v>
      </c>
      <c r="R211" s="2">
        <v>8086634372000</v>
      </c>
      <c r="S211" s="2">
        <v>2618910283000</v>
      </c>
      <c r="T211" s="2">
        <v>2792737848000</v>
      </c>
      <c r="U211" s="2">
        <v>3868574769000</v>
      </c>
      <c r="V211" s="2">
        <v>5639678574000</v>
      </c>
      <c r="W211" s="2">
        <v>4308242737000</v>
      </c>
      <c r="X211" s="2">
        <v>2773582727000</v>
      </c>
      <c r="Y211" s="2">
        <v>3284218532000</v>
      </c>
    </row>
    <row r="213">
      <c r="A213" t="str">
        <v>Key Ratio</v>
      </c>
      <c r="B213" t="str">
        <v>Share Outstanding</v>
      </c>
      <c r="C213" t="str">
        <v>24.03 B</v>
      </c>
      <c r="D213" t="str">
        <v>24.03 B</v>
      </c>
      <c r="E213" t="str">
        <v>24.03 B</v>
      </c>
      <c r="F213" t="str">
        <v>24.03 B</v>
      </c>
      <c r="H213" t="str">
        <v>24.03 B</v>
      </c>
      <c r="I213" t="str">
        <v>24.03 B</v>
      </c>
      <c r="J213" t="str">
        <v>24.03 B</v>
      </c>
      <c r="K213" t="str">
        <v>24.03 B</v>
      </c>
      <c r="L213" t="str">
        <v>24.03 B</v>
      </c>
      <c r="M213" t="str">
        <v>24.03 B</v>
      </c>
      <c r="N213" t="str">
        <v>24.03 B</v>
      </c>
      <c r="O213" t="str">
        <v>24.03 B</v>
      </c>
      <c r="P213" t="str">
        <v>24.03 B</v>
      </c>
      <c r="Q213" t="str">
        <v>24.03 B</v>
      </c>
      <c r="R213" t="str">
        <v>24.03 B</v>
      </c>
      <c r="S213" t="str">
        <v>9.54 B</v>
      </c>
      <c r="T213" t="str">
        <v>9.54 B</v>
      </c>
      <c r="U213" t="str">
        <v>9.54 B</v>
      </c>
      <c r="V213" t="str">
        <v>9.54 B</v>
      </c>
      <c r="W213" t="str">
        <v>9.54 B</v>
      </c>
      <c r="X213" t="str">
        <v>9.54 B</v>
      </c>
      <c r="Y213" t="str">
        <v>9.54 B</v>
      </c>
    </row>
    <row r="214">
      <c r="B214" t="str">
        <v>EPS (Quarter)</v>
      </c>
      <c r="C214" t="str">
        <v>141.77</v>
      </c>
      <c r="D214" t="str">
        <v>51.36</v>
      </c>
      <c r="E214" t="str">
        <v>53.19</v>
      </c>
      <c r="F214" t="str">
        <v>106.75</v>
      </c>
    </row>
    <row r="215">
      <c r="B215" t="str">
        <v>PE Ratio (Quarter)</v>
      </c>
      <c r="C215" t="str">
        <v>24.69</v>
      </c>
      <c r="D215" t="str">
        <v>61.33</v>
      </c>
      <c r="E215" t="str">
        <v>59.41</v>
      </c>
      <c r="F215" t="str">
        <v>28.48</v>
      </c>
    </row>
    <row r="216">
      <c r="B216" t="str">
        <v>Price to Sales (Quarter)</v>
      </c>
      <c r="C216" t="str">
        <v>2.87</v>
      </c>
      <c r="D216" t="str">
        <v>6.00</v>
      </c>
      <c r="E216" t="str">
        <v>5.84</v>
      </c>
      <c r="F216" t="str">
        <v>2.22</v>
      </c>
    </row>
    <row r="217">
      <c r="B217" t="str">
        <v>EBITDA (Quarter)</v>
      </c>
      <c r="C217" t="str">
        <v>4,716.24 B</v>
      </c>
      <c r="D217" t="str">
        <v>766.98 B</v>
      </c>
      <c r="E217" t="str">
        <v>1,997.07 B</v>
      </c>
      <c r="F217" t="str">
        <v>3,688.13 B</v>
      </c>
    </row>
    <row r="218">
      <c r="B218" t="str">
        <v>Return on Assets (Quarter)</v>
      </c>
      <c r="C218" t="str">
        <v>5.38%</v>
      </c>
      <c r="D218" t="str">
        <v>2.35%</v>
      </c>
      <c r="E218" t="str">
        <v>2.66%</v>
      </c>
      <c r="F218" t="str">
        <v>5.30%</v>
      </c>
    </row>
    <row r="219">
      <c r="B219" t="str">
        <v>Return on Equity (Quarter)</v>
      </c>
      <c r="C219" t="str">
        <v>8.77%</v>
      </c>
      <c r="D219" t="str">
        <v>3.50%</v>
      </c>
      <c r="E219" t="str">
        <v>3.78%</v>
      </c>
      <c r="F219" t="str">
        <v>7.89%</v>
      </c>
    </row>
    <row r="220">
      <c r="B220" t="str">
        <v>Return on Capital Employed (Quarter)</v>
      </c>
      <c r="C220" t="str">
        <v>10.08%</v>
      </c>
      <c r="D220" t="str">
        <v>1.21%</v>
      </c>
      <c r="E220" t="str">
        <v>4.53%</v>
      </c>
      <c r="F220" t="str">
        <v>9.38%</v>
      </c>
    </row>
    <row r="221">
      <c r="B221" t="str">
        <v>Interest Coverage (Quarter)</v>
      </c>
      <c r="C221" t="str">
        <v>41.78</v>
      </c>
      <c r="D221" t="str">
        <v>8.00</v>
      </c>
      <c r="E221" t="str">
        <v>27.68</v>
      </c>
      <c r="F221" t="str">
        <v>197.33</v>
      </c>
    </row>
    <row r="222">
      <c r="B222" t="str">
        <v>Total Equity (Quarter)</v>
      </c>
      <c r="C222" t="str">
        <v>40,406 B</v>
      </c>
      <c r="D222" t="str">
        <v>36,600 B</v>
      </c>
      <c r="E222" t="str">
        <v>35,197 B</v>
      </c>
      <c r="F222" t="str">
        <v>33,706 B</v>
      </c>
    </row>
    <row r="223">
      <c r="B223" t="str">
        <v>Price to Book Value (Quarter)</v>
      </c>
      <c r="C223" t="str">
        <v>2.17</v>
      </c>
      <c r="D223" t="str">
        <v>2.14</v>
      </c>
      <c r="E223" t="str">
        <v>2.25</v>
      </c>
      <c r="F223" t="str">
        <v>2.25</v>
      </c>
    </row>
    <row r="224">
      <c r="B224" t="str">
        <v>Book Value Per Share (Quarter)</v>
      </c>
      <c r="C224" t="str">
        <v>1616.55</v>
      </c>
      <c r="D224" t="str">
        <v>1468.88</v>
      </c>
      <c r="E224" t="str">
        <v>1407.28</v>
      </c>
      <c r="F224" t="str">
        <v>1353.18</v>
      </c>
    </row>
    <row r="225">
      <c r="B225" t="str">
        <v>Price to Tang. Book Value (Quarter)</v>
      </c>
      <c r="C225" t="str">
        <v>2.17</v>
      </c>
      <c r="D225" t="str">
        <v>2.15</v>
      </c>
      <c r="E225" t="str">
        <v>2.26</v>
      </c>
      <c r="F225" t="str">
        <v>2.26</v>
      </c>
    </row>
    <row r="226">
      <c r="B226" t="str">
        <v>Tang. Book Value Per Share (Quarter)</v>
      </c>
      <c r="C226" t="str">
        <v>1610.70</v>
      </c>
      <c r="D226" t="str">
        <v>1462.90</v>
      </c>
      <c r="E226" t="str">
        <v>1400.05</v>
      </c>
      <c r="F226" t="str">
        <v>1346.91</v>
      </c>
    </row>
    <row r="227">
      <c r="B227" t="str">
        <v>Short-term Debt (Quarter)</v>
      </c>
      <c r="C227" t="str">
        <v>5,550 B</v>
      </c>
      <c r="D227" t="str">
        <v>1,398 B</v>
      </c>
      <c r="E227" t="str">
        <v>736 B</v>
      </c>
      <c r="F227" t="str">
        <v>330 B</v>
      </c>
    </row>
    <row r="228">
      <c r="B228" t="str">
        <v>Long-term Debt (Quarter)</v>
      </c>
      <c r="C228" t="str">
        <v>39 B</v>
      </c>
      <c r="D228" t="str">
        <v>54 B</v>
      </c>
      <c r="E228" t="str">
        <v>51 B</v>
      </c>
      <c r="F228" t="str">
        <v>52 B</v>
      </c>
    </row>
    <row r="229">
      <c r="B229" t="str">
        <v>Common Equity</v>
      </c>
      <c r="C229" t="str">
        <v>38,847 B</v>
      </c>
      <c r="D229" t="str">
        <v>35,298 B</v>
      </c>
      <c r="E229" t="str">
        <v>33,818 B</v>
      </c>
      <c r="F229" t="str">
        <v>32,518 B</v>
      </c>
    </row>
    <row r="230">
      <c r="B230" t="str">
        <v>Total Debt (Quarter)</v>
      </c>
      <c r="C230" t="str">
        <v>5,589 B</v>
      </c>
      <c r="D230" t="str">
        <v>1,452 B</v>
      </c>
      <c r="E230" t="str">
        <v>787 B</v>
      </c>
      <c r="F230" t="str">
        <v>382 B</v>
      </c>
    </row>
    <row r="231">
      <c r="B231" t="str">
        <v>Net Debt (Quarter)</v>
      </c>
      <c r="C231" t="str">
        <v>(3,450 B)</v>
      </c>
      <c r="D231" t="str">
        <v>(6,982 B)</v>
      </c>
      <c r="E231" t="str">
        <v>(8,475 B)</v>
      </c>
      <c r="F231" t="str">
        <v>(10,132 B)</v>
      </c>
    </row>
    <row r="232">
      <c r="B232" t="str">
        <v>Working Capital (Quarter)</v>
      </c>
      <c r="C232" t="str">
        <v>16,409 B</v>
      </c>
      <c r="D232" t="str">
        <v>13,339 B</v>
      </c>
      <c r="E232" t="str">
        <v>12,194 B</v>
      </c>
      <c r="F232" t="str">
        <v>8,870 B</v>
      </c>
    </row>
    <row r="233">
      <c r="B233" t="str">
        <v>Operating Cash Flow (Quarter)</v>
      </c>
      <c r="C233" t="str">
        <v>(3,154 B)</v>
      </c>
      <c r="D233" t="str">
        <v>832 B</v>
      </c>
      <c r="E233" t="str">
        <v>1,746 B</v>
      </c>
      <c r="F233" t="str">
        <v>193 B</v>
      </c>
    </row>
    <row r="234">
      <c r="B234" t="str">
        <v>Capital expenditure (Quarter)</v>
      </c>
      <c r="C234" t="str">
        <v>(97 B)</v>
      </c>
      <c r="D234" t="str">
        <v>(267 B)</v>
      </c>
      <c r="E234" t="str">
        <v>(112 B)</v>
      </c>
      <c r="F234" t="str">
        <v>(16 B)</v>
      </c>
    </row>
    <row r="235">
      <c r="B235" t="str">
        <v>Free cash flow (Quarter)</v>
      </c>
      <c r="C235" t="str">
        <v>(3,251 B)</v>
      </c>
      <c r="D235" t="str">
        <v>565 B</v>
      </c>
      <c r="E235" t="str">
        <v>1,634 B</v>
      </c>
      <c r="F235" t="str">
        <v>177 B</v>
      </c>
    </row>
    <row r="236">
      <c r="B236" t="str">
        <v>Free cash flow per share (Quarter)</v>
      </c>
      <c r="C236" t="str">
        <v>-135.27</v>
      </c>
      <c r="D236" t="str">
        <v>23.51</v>
      </c>
      <c r="E236" t="str">
        <v>68.01</v>
      </c>
      <c r="F236" t="str">
        <v>7.37</v>
      </c>
    </row>
    <row r="237">
      <c r="B237" t="str">
        <v>EPS (Annual)</v>
      </c>
      <c r="H237" t="str">
        <v>299.98</v>
      </c>
      <c r="I237" t="str">
        <v>151.77</v>
      </c>
      <c r="J237" t="str">
        <v>128.07</v>
      </c>
      <c r="K237" t="str">
        <v>159.00</v>
      </c>
      <c r="L237" t="str">
        <v>77.47</v>
      </c>
      <c r="M237" t="str">
        <v>47.83</v>
      </c>
      <c r="N237" t="str">
        <v>8.07</v>
      </c>
      <c r="O237" t="str">
        <v>36.39</v>
      </c>
      <c r="P237" t="str">
        <v>5.68</v>
      </c>
      <c r="Q237" t="str">
        <v>2.70</v>
      </c>
      <c r="R237" t="str">
        <v>-59.96</v>
      </c>
      <c r="S237" t="str">
        <v>-81.28</v>
      </c>
      <c r="T237" t="str">
        <v>42.98</v>
      </c>
      <c r="U237" t="str">
        <v>313.79</v>
      </c>
      <c r="V237" t="str">
        <v>202.12</v>
      </c>
      <c r="W237" t="str">
        <v>175.60</v>
      </c>
      <c r="X237" t="str">
        <v>62.40</v>
      </c>
      <c r="Y237" t="str">
        <v>143.53</v>
      </c>
    </row>
    <row r="238">
      <c r="B238" t="str">
        <v>PE Ratio (Annual)</v>
      </c>
      <c r="H238" t="str">
        <v>10.50</v>
      </c>
      <c r="I238" t="str">
        <v>10.05</v>
      </c>
      <c r="J238" t="str">
        <v>13.31</v>
      </c>
      <c r="K238" t="str">
        <v>12.48</v>
      </c>
      <c r="L238" t="str">
        <v>29.04</v>
      </c>
      <c r="M238" t="str">
        <v>40.46</v>
      </c>
      <c r="N238" t="str">
        <v>104.09</v>
      </c>
      <c r="O238" t="str">
        <v>21.02</v>
      </c>
      <c r="P238" t="str">
        <v>110.04</v>
      </c>
      <c r="Q238" t="str">
        <v>331.48</v>
      </c>
      <c r="R238" t="str">
        <v>-5.24</v>
      </c>
      <c r="S238" t="str">
        <v>-13.12</v>
      </c>
      <c r="T238" t="str">
        <v>25.38</v>
      </c>
      <c r="U238" t="str">
        <v>4.08</v>
      </c>
      <c r="V238" t="str">
        <v>8.02</v>
      </c>
      <c r="W238" t="str">
        <v>13.95</v>
      </c>
      <c r="X238" t="str">
        <v>35.26</v>
      </c>
      <c r="Y238" t="str">
        <v>7.60</v>
      </c>
    </row>
    <row r="239">
      <c r="B239" t="str">
        <v>Price to Sales (Annual)</v>
      </c>
      <c r="H239" t="str">
        <v>0.89</v>
      </c>
      <c r="I239" t="str">
        <v>0.53</v>
      </c>
      <c r="J239" t="str">
        <v>1.00</v>
      </c>
      <c r="K239" t="str">
        <v>1.04</v>
      </c>
      <c r="L239" t="str">
        <v>1.41</v>
      </c>
      <c r="M239" t="str">
        <v>1.70</v>
      </c>
      <c r="N239" t="str">
        <v>0.62</v>
      </c>
      <c r="O239" t="str">
        <v>0.73</v>
      </c>
      <c r="P239" t="str">
        <v>1.19</v>
      </c>
      <c r="Q239" t="str">
        <v>2.36</v>
      </c>
      <c r="R239" t="str">
        <v>0.72</v>
      </c>
      <c r="S239" t="str">
        <v>1.08</v>
      </c>
      <c r="T239" t="str">
        <v>0.92</v>
      </c>
      <c r="U239" t="str">
        <v>1.17</v>
      </c>
      <c r="V239" t="str">
        <v>1.49</v>
      </c>
      <c r="W239" t="str">
        <v>2.67</v>
      </c>
      <c r="X239" t="str">
        <v>2.41</v>
      </c>
      <c r="Y239" t="str">
        <v>1.08</v>
      </c>
    </row>
    <row r="240">
      <c r="B240" t="str">
        <v>EBITDA (Annual)</v>
      </c>
      <c r="H240" t="str">
        <v>9,369.05 B</v>
      </c>
      <c r="I240" t="str">
        <v>4,285.97 B</v>
      </c>
      <c r="J240" t="str">
        <v>4,085.54 B</v>
      </c>
      <c r="K240" t="str">
        <v>4,800.27 B</v>
      </c>
      <c r="L240" t="str">
        <v>3,628.74 B</v>
      </c>
      <c r="M240" t="str">
        <v>3,131.64 B</v>
      </c>
      <c r="N240" t="str">
        <v>2,065.62 B</v>
      </c>
      <c r="O240" t="str">
        <v>2,696.67 B</v>
      </c>
    </row>
    <row r="241">
      <c r="B241" t="str">
        <v>Return on Assets (Annual)</v>
      </c>
      <c r="H241" t="str">
        <v>13.72%</v>
      </c>
      <c r="I241" t="str">
        <v>8.19%</v>
      </c>
      <c r="J241" t="str">
        <v>7.18%</v>
      </c>
      <c r="K241" t="str">
        <v>11.36%</v>
      </c>
      <c r="L241" t="str">
        <v>5.66%</v>
      </c>
      <c r="M241" t="str">
        <v>3.62%</v>
      </c>
      <c r="N241" t="str">
        <v>0.64%</v>
      </c>
      <c r="O241" t="str">
        <v>2.63%</v>
      </c>
      <c r="P241" t="str">
        <v>0.45%</v>
      </c>
      <c r="Q241" t="str">
        <v>0.22%</v>
      </c>
      <c r="R241" t="str">
        <v>-4.75%</v>
      </c>
      <c r="S241" t="str">
        <v>-3.52%</v>
      </c>
      <c r="T241" t="str">
        <v>1.87%</v>
      </c>
      <c r="U241" t="str">
        <v>15.19%</v>
      </c>
      <c r="V241" t="str">
        <v>12.68%</v>
      </c>
      <c r="W241" t="str">
        <v>13.61%</v>
      </c>
      <c r="X241" t="str">
        <v>5.99%</v>
      </c>
      <c r="Y241" t="str">
        <v>13.36%</v>
      </c>
    </row>
    <row r="242">
      <c r="B242" t="str">
        <v>Return on Equity (Annual)</v>
      </c>
      <c r="H242" t="str">
        <v>20.42%</v>
      </c>
      <c r="I242" t="str">
        <v>11.59%</v>
      </c>
      <c r="J242" t="str">
        <v>10.04%</v>
      </c>
      <c r="K242" t="str">
        <v>16.11%</v>
      </c>
      <c r="L242" t="str">
        <v>8.93%</v>
      </c>
      <c r="M242" t="str">
        <v>6.04%</v>
      </c>
      <c r="N242" t="str">
        <v>1.07%</v>
      </c>
      <c r="O242" t="str">
        <v>4.43%</v>
      </c>
      <c r="P242" t="str">
        <v>0.74%</v>
      </c>
      <c r="Q242" t="str">
        <v>0.35%</v>
      </c>
      <c r="R242" t="str">
        <v>-7.87%</v>
      </c>
      <c r="S242" t="str">
        <v>-6.50%</v>
      </c>
      <c r="T242" t="str">
        <v>3.20%</v>
      </c>
      <c r="U242" t="str">
        <v>23.32%</v>
      </c>
      <c r="V242" t="str">
        <v>17.90%</v>
      </c>
      <c r="W242" t="str">
        <v>17.48%</v>
      </c>
      <c r="X242" t="str">
        <v>7.30%</v>
      </c>
      <c r="Y242" t="str">
        <v>16.98%</v>
      </c>
    </row>
    <row r="243">
      <c r="B243" t="str">
        <v>Return on Capital Employed (Annual)</v>
      </c>
      <c r="H243" t="str">
        <v>21.64%</v>
      </c>
      <c r="I243" t="str">
        <v>8.69%</v>
      </c>
      <c r="J243" t="str">
        <v>8.45%</v>
      </c>
      <c r="K243" t="str">
        <v>14.59%</v>
      </c>
      <c r="L243" t="str">
        <v>10.84%</v>
      </c>
      <c r="M243" t="str">
        <v>8.28%</v>
      </c>
      <c r="N243" t="str">
        <v>3.63%</v>
      </c>
      <c r="O243" t="str">
        <v>7.09%</v>
      </c>
      <c r="P243" t="str">
        <v>2.40%</v>
      </c>
      <c r="Q243" t="str">
        <v>0.03%</v>
      </c>
      <c r="R243" t="str">
        <v>-3.17%</v>
      </c>
      <c r="S243" t="str">
        <v>-0.99%</v>
      </c>
      <c r="T243" t="str">
        <v>2.43%</v>
      </c>
      <c r="U243" t="str">
        <v>5.78%</v>
      </c>
      <c r="V243" t="str">
        <v>16.32%</v>
      </c>
      <c r="W243" t="str">
        <v>19.95%</v>
      </c>
      <c r="X243" t="str">
        <v>6.28%</v>
      </c>
      <c r="Y243" t="str">
        <v>35.97%</v>
      </c>
    </row>
    <row r="244">
      <c r="B244" t="str">
        <v>Interest Coverage (Annual)</v>
      </c>
      <c r="H244" t="str">
        <v>50.24</v>
      </c>
      <c r="I244" t="str">
        <v>12.64</v>
      </c>
      <c r="J244" t="str">
        <v>12.16</v>
      </c>
      <c r="K244" t="str">
        <v>10.34</v>
      </c>
      <c r="L244" t="str">
        <v>7.63</v>
      </c>
      <c r="M244" t="str">
        <v>3.59</v>
      </c>
      <c r="N244" t="str">
        <v>4.10</v>
      </c>
      <c r="O244" t="str">
        <v>3.34</v>
      </c>
      <c r="P244" t="str">
        <v>0.99</v>
      </c>
      <c r="Q244" t="str">
        <v>0.03</v>
      </c>
      <c r="R244" t="str">
        <v>-2.85</v>
      </c>
      <c r="S244" t="str">
        <v>-1.42</v>
      </c>
      <c r="T244" t="str">
        <v>6.94</v>
      </c>
      <c r="U244" t="str">
        <v>3.82</v>
      </c>
      <c r="V244" t="str">
        <v>88.58</v>
      </c>
      <c r="W244" t="str">
        <v>153.86</v>
      </c>
      <c r="X244" t="str">
        <v>12.49</v>
      </c>
      <c r="Y244" t="str">
        <v>34.03</v>
      </c>
    </row>
    <row r="245">
      <c r="B245" t="str">
        <v>Price to Book Value (Annual)</v>
      </c>
      <c r="H245" t="str">
        <v>2.14</v>
      </c>
      <c r="I245" t="str">
        <v>1.16</v>
      </c>
      <c r="J245" t="str">
        <v>1.34</v>
      </c>
      <c r="K245" t="str">
        <v>2.01</v>
      </c>
      <c r="L245" t="str">
        <v>2.59</v>
      </c>
      <c r="M245" t="str">
        <v>2.44</v>
      </c>
      <c r="N245" t="str">
        <v>1.11</v>
      </c>
      <c r="O245" t="str">
        <v>0.93</v>
      </c>
      <c r="P245" t="str">
        <v>0.81</v>
      </c>
      <c r="Q245" t="str">
        <v>1.17</v>
      </c>
      <c r="R245" t="str">
        <v>0.41</v>
      </c>
      <c r="S245" t="str">
        <v>0.85</v>
      </c>
      <c r="T245" t="str">
        <v>0.81</v>
      </c>
      <c r="U245" t="str">
        <v>0.95</v>
      </c>
      <c r="V245" t="str">
        <v>1.43</v>
      </c>
      <c r="W245" t="str">
        <v>2.44</v>
      </c>
      <c r="X245" t="str">
        <v>2.58</v>
      </c>
      <c r="Y245" t="str">
        <v>1.29</v>
      </c>
    </row>
    <row r="246">
      <c r="B246" t="str">
        <v>Book Value Per Share (Annual)</v>
      </c>
      <c r="H246" t="str">
        <v>1468.88</v>
      </c>
      <c r="I246" t="str">
        <v>1309.08</v>
      </c>
      <c r="J246" t="str">
        <v>1275.17</v>
      </c>
      <c r="K246" t="str">
        <v>986.74</v>
      </c>
      <c r="L246" t="str">
        <v>867.10</v>
      </c>
      <c r="M246" t="str">
        <v>792.29</v>
      </c>
      <c r="N246" t="str">
        <v>754.59</v>
      </c>
      <c r="O246" t="str">
        <v>821.41</v>
      </c>
      <c r="P246" t="str">
        <v>769.45</v>
      </c>
      <c r="Q246" t="str">
        <v>766.05</v>
      </c>
      <c r="R246" t="str">
        <v>762.22</v>
      </c>
      <c r="S246" t="str">
        <v>1250.68</v>
      </c>
      <c r="T246" t="str">
        <v>1341.25</v>
      </c>
      <c r="U246" t="str">
        <v>1345.32</v>
      </c>
      <c r="V246" t="str">
        <v>1129.33</v>
      </c>
      <c r="W246" t="str">
        <v>1004.37</v>
      </c>
      <c r="X246" t="str">
        <v>854.32</v>
      </c>
      <c r="Y246" t="str">
        <v>845.33</v>
      </c>
    </row>
    <row r="247">
      <c r="B247" t="str">
        <v>Price to Tang. Book Value (Annual)</v>
      </c>
      <c r="H247" t="str">
        <v>2.15</v>
      </c>
      <c r="I247" t="str">
        <v>1.17</v>
      </c>
      <c r="J247" t="str">
        <v>1.34</v>
      </c>
      <c r="K247" t="str">
        <v>2.02</v>
      </c>
      <c r="L247" t="str">
        <v>2.61</v>
      </c>
      <c r="M247" t="str">
        <v>2.46</v>
      </c>
      <c r="N247" t="str">
        <v>1.12</v>
      </c>
      <c r="O247" t="str">
        <v>0.94</v>
      </c>
      <c r="P247" t="str">
        <v>0.82</v>
      </c>
      <c r="Q247" t="str">
        <v>1.17</v>
      </c>
      <c r="R247" t="str">
        <v>0.41</v>
      </c>
      <c r="S247" t="str">
        <v>0.86</v>
      </c>
      <c r="T247" t="str">
        <v>0.83</v>
      </c>
      <c r="U247" t="str">
        <v>0.97</v>
      </c>
      <c r="V247" t="str">
        <v>1.46</v>
      </c>
      <c r="W247" t="str">
        <v>2.46</v>
      </c>
      <c r="X247" t="str">
        <v>2.60</v>
      </c>
      <c r="Y247" t="str">
        <v>1.30</v>
      </c>
    </row>
    <row r="248">
      <c r="B248" t="str">
        <v>Tang. Book Value Per Share (Annual)</v>
      </c>
      <c r="H248" t="str">
        <v>1462.90</v>
      </c>
      <c r="I248" t="str">
        <v>1303.44</v>
      </c>
      <c r="J248" t="str">
        <v>1270.43</v>
      </c>
      <c r="K248" t="str">
        <v>982.51</v>
      </c>
      <c r="L248" t="str">
        <v>862.50</v>
      </c>
      <c r="M248" t="str">
        <v>787.50</v>
      </c>
      <c r="N248" t="str">
        <v>749.96</v>
      </c>
      <c r="O248" t="str">
        <v>817.18</v>
      </c>
      <c r="P248" t="str">
        <v>765.21</v>
      </c>
      <c r="Q248" t="str">
        <v>761.82</v>
      </c>
      <c r="R248" t="str">
        <v>757.98</v>
      </c>
      <c r="S248" t="str">
        <v>1236.67</v>
      </c>
      <c r="T248" t="str">
        <v>1322.39</v>
      </c>
      <c r="U248" t="str">
        <v>1325.89</v>
      </c>
      <c r="V248" t="str">
        <v>1109.89</v>
      </c>
      <c r="W248" t="str">
        <v>994.95</v>
      </c>
      <c r="X248" t="str">
        <v>845.84</v>
      </c>
      <c r="Y248" t="str">
        <v>836.38</v>
      </c>
    </row>
    <row r="249">
      <c r="B249" t="str">
        <v>Short-term Debt (Annual)</v>
      </c>
      <c r="H249" t="str">
        <v>1,398 B</v>
      </c>
      <c r="I249" t="str">
        <v>55 B</v>
      </c>
      <c r="J249" t="str">
        <v>1,703 B</v>
      </c>
      <c r="K249" t="str">
        <v>1,010 B</v>
      </c>
      <c r="L249" t="str">
        <v>2,228 B</v>
      </c>
      <c r="M249" t="str">
        <v>4,288 B</v>
      </c>
      <c r="N249" t="str">
        <v>3,003 B</v>
      </c>
      <c r="O249" t="str">
        <v>2,576 B</v>
      </c>
      <c r="P249" t="str">
        <v>4,101 B</v>
      </c>
      <c r="Q249" t="str">
        <v>3,255 B</v>
      </c>
      <c r="R249" t="str">
        <v>3,188 B</v>
      </c>
      <c r="S249" t="str">
        <v>2,752 B</v>
      </c>
      <c r="T249" t="str">
        <v>2,568 B</v>
      </c>
      <c r="U249" t="str">
        <v>1,664 B</v>
      </c>
      <c r="V249" t="str">
        <v>8 B</v>
      </c>
      <c r="W249" t="str">
        <v>769 B</v>
      </c>
      <c r="X249" t="str">
        <v>240 B</v>
      </c>
      <c r="Y249" t="str">
        <v>256 B</v>
      </c>
    </row>
    <row r="250">
      <c r="B250" t="str">
        <v>Long-term Debt (Annual)</v>
      </c>
      <c r="H250" t="str">
        <v>54 B</v>
      </c>
      <c r="I250" t="str">
        <v>42 B</v>
      </c>
      <c r="J250" t="str">
        <v>945 B</v>
      </c>
      <c r="K250" t="str">
        <v>2,145 B</v>
      </c>
      <c r="L250" t="str">
        <v>3,787 B</v>
      </c>
      <c r="M250" t="str">
        <v>3,475 B</v>
      </c>
      <c r="N250" t="str">
        <v>5,564 B</v>
      </c>
      <c r="O250" t="str">
        <v>7,348 B</v>
      </c>
      <c r="P250" t="str">
        <v>5,298 B</v>
      </c>
      <c r="Q250" t="str">
        <v>6,649 B</v>
      </c>
      <c r="R250" t="str">
        <v>6,922 B</v>
      </c>
      <c r="S250" t="str">
        <v>5,263 B</v>
      </c>
      <c r="T250" t="str">
        <v>4,217 B</v>
      </c>
      <c r="U250" t="str">
        <v>2,993 B</v>
      </c>
      <c r="V250" t="str">
        <v>2,992 B</v>
      </c>
      <c r="W250" t="str">
        <v>24 B</v>
      </c>
      <c r="X250" t="str">
        <v>274 B</v>
      </c>
      <c r="Y250" t="str">
        <v>596 B</v>
      </c>
    </row>
    <row r="251">
      <c r="B251" t="str">
        <v>Total Debt (Annual)</v>
      </c>
      <c r="H251" t="str">
        <v>1,452 B</v>
      </c>
      <c r="I251" t="str">
        <v>98 B</v>
      </c>
      <c r="J251" t="str">
        <v>2,648 B</v>
      </c>
      <c r="K251" t="str">
        <v>3,155 B</v>
      </c>
      <c r="L251" t="str">
        <v>6,015 B</v>
      </c>
      <c r="M251" t="str">
        <v>7,763 B</v>
      </c>
      <c r="N251" t="str">
        <v>8,568 B</v>
      </c>
      <c r="O251" t="str">
        <v>9,924 B</v>
      </c>
      <c r="P251" t="str">
        <v>9,399 B</v>
      </c>
      <c r="Q251" t="str">
        <v>9,905 B</v>
      </c>
      <c r="R251" t="str">
        <v>10,110 B</v>
      </c>
      <c r="S251" t="str">
        <v>8,015 B</v>
      </c>
      <c r="T251" t="str">
        <v>6,785 B</v>
      </c>
      <c r="U251" t="str">
        <v>4,657 B</v>
      </c>
      <c r="V251" t="str">
        <v>3,000 B</v>
      </c>
      <c r="W251" t="str">
        <v>793 B</v>
      </c>
      <c r="X251" t="str">
        <v>513 B</v>
      </c>
      <c r="Y251" t="str">
        <v>851 B</v>
      </c>
    </row>
    <row r="252">
      <c r="B252" t="str">
        <v>Net Debt (Annual)</v>
      </c>
      <c r="H252" t="str">
        <v>(6,982 B)</v>
      </c>
      <c r="I252" t="str">
        <v>(4,654 B)</v>
      </c>
      <c r="J252" t="str">
        <v>(6,561 B)</v>
      </c>
      <c r="K252" t="str">
        <v>(1,322 B)</v>
      </c>
      <c r="L252" t="str">
        <v>926 B</v>
      </c>
      <c r="M252" t="str">
        <v>3,779 B</v>
      </c>
      <c r="N252" t="str">
        <v>4,931 B</v>
      </c>
      <c r="O252" t="str">
        <v>5,625 B</v>
      </c>
      <c r="P252" t="str">
        <v>3,848 B</v>
      </c>
      <c r="Q252" t="str">
        <v>2,281 B</v>
      </c>
      <c r="R252" t="str">
        <v>2,024 B</v>
      </c>
      <c r="S252" t="str">
        <v>5,396 B</v>
      </c>
      <c r="T252" t="str">
        <v>3,993 B</v>
      </c>
      <c r="U252" t="str">
        <v>788 B</v>
      </c>
      <c r="V252" t="str">
        <v>(2,639 B)</v>
      </c>
      <c r="W252" t="str">
        <v>(3,516 B)</v>
      </c>
      <c r="X252" t="str">
        <v>(2,260 B)</v>
      </c>
      <c r="Y252" t="str">
        <v>(2,433 B)</v>
      </c>
    </row>
    <row r="253">
      <c r="B253" t="str">
        <v>Working capital (Annual)</v>
      </c>
      <c r="H253" t="str">
        <v>13,339 B</v>
      </c>
      <c r="I253" t="str">
        <v>8,221 B</v>
      </c>
      <c r="J253" t="str">
        <v>11,488 B</v>
      </c>
      <c r="K253" t="str">
        <v>5,723 B</v>
      </c>
      <c r="L253" t="str">
        <v>5,166 B</v>
      </c>
      <c r="M253" t="str">
        <v>1,597 B</v>
      </c>
      <c r="N253" t="str">
        <v>2,372 B</v>
      </c>
      <c r="O253" t="str">
        <v>2,987 B</v>
      </c>
      <c r="P253" t="str">
        <v>3,449 B</v>
      </c>
      <c r="Q253" t="str">
        <v>6,278 B</v>
      </c>
      <c r="R253" t="str">
        <v>6,913 B</v>
      </c>
      <c r="S253" t="str">
        <v>2,480 B</v>
      </c>
      <c r="T253" t="str">
        <v>3,225 B</v>
      </c>
      <c r="U253" t="str">
        <v>4,605 B</v>
      </c>
      <c r="V253" t="str">
        <v>8,252 B</v>
      </c>
      <c r="W253" t="str">
        <v>5,605 B</v>
      </c>
      <c r="X253" t="str">
        <v>4,689 B</v>
      </c>
      <c r="Y253" t="str">
        <v>5,101 B</v>
      </c>
    </row>
    <row r="254">
      <c r="B254" t="str">
        <v>Operating Cash Flow (Annual)</v>
      </c>
      <c r="H254" t="str">
        <v>4,853 B</v>
      </c>
      <c r="I254" t="str">
        <v>3,681 B</v>
      </c>
      <c r="J254" t="str">
        <v>4,357 B</v>
      </c>
      <c r="K254" t="str">
        <v>4,108 B</v>
      </c>
      <c r="L254" t="str">
        <v>5,043 B</v>
      </c>
      <c r="M254" t="str">
        <v>2,219 B</v>
      </c>
      <c r="N254" t="str">
        <v>1,634 B</v>
      </c>
      <c r="O254" t="str">
        <v>1,875 B</v>
      </c>
      <c r="P254" t="str">
        <v>1,379 B</v>
      </c>
      <c r="Q254" t="str">
        <v>1,015 B</v>
      </c>
      <c r="R254" t="str">
        <v>489 B</v>
      </c>
      <c r="S254" t="str">
        <v>392 B</v>
      </c>
      <c r="T254" t="str">
        <v>157 B</v>
      </c>
      <c r="U254" t="str">
        <v>891 B</v>
      </c>
      <c r="V254" t="str">
        <v>1,568 B</v>
      </c>
      <c r="W254" t="str">
        <v>2,005 B</v>
      </c>
      <c r="X254" t="str">
        <v>1,004 B</v>
      </c>
      <c r="Y254" t="str">
        <v>1,137 B</v>
      </c>
    </row>
    <row r="255">
      <c r="B255" t="str">
        <v>Capital expenditure (Annual)</v>
      </c>
      <c r="H255" t="str">
        <v>(667 B)</v>
      </c>
      <c r="I255" t="str">
        <v>(1,179 B)</v>
      </c>
      <c r="J255" t="str">
        <v>(1,433 B)</v>
      </c>
      <c r="K255" t="str">
        <v>(700 B)</v>
      </c>
      <c r="L255" t="str">
        <v>(511 B)</v>
      </c>
      <c r="M255" t="str">
        <v>(572 B)</v>
      </c>
      <c r="N255" t="str">
        <v>(1,236 B)</v>
      </c>
      <c r="O255" t="str">
        <v>(2,163 B)</v>
      </c>
      <c r="P255" t="str">
        <v>(2,365 B)</v>
      </c>
      <c r="Q255" t="str">
        <v>(1,231 B)</v>
      </c>
      <c r="R255" t="str">
        <v>(1,821 B)</v>
      </c>
      <c r="S255" t="str">
        <v>(2,076 B)</v>
      </c>
      <c r="T255" t="str">
        <v>(2,680 B)</v>
      </c>
      <c r="U255" t="str">
        <v>(2,561 B)</v>
      </c>
      <c r="V255" t="str">
        <v>(899 B)</v>
      </c>
      <c r="W255" t="str">
        <v>(681 B)</v>
      </c>
      <c r="X255" t="str">
        <v>(584 B)</v>
      </c>
      <c r="Y255" t="str">
        <v>(500 B)</v>
      </c>
    </row>
    <row r="256">
      <c r="B256" t="str">
        <v>Free cash flow (Annual)</v>
      </c>
      <c r="H256" t="str">
        <v>4,187 B</v>
      </c>
      <c r="I256" t="str">
        <v>2,502 B</v>
      </c>
      <c r="J256" t="str">
        <v>2,924 B</v>
      </c>
      <c r="K256" t="str">
        <v>3,408 B</v>
      </c>
      <c r="L256" t="str">
        <v>4,531 B</v>
      </c>
      <c r="M256" t="str">
        <v>1,646 B</v>
      </c>
      <c r="N256" t="str">
        <v>398 B</v>
      </c>
      <c r="O256" t="str">
        <v>(288 B)</v>
      </c>
      <c r="P256" t="str">
        <v>(985 B)</v>
      </c>
      <c r="Q256" t="str">
        <v>(215 B)</v>
      </c>
      <c r="R256" t="str">
        <v>(1,332 B)</v>
      </c>
      <c r="S256" t="str">
        <v>(1,684 B)</v>
      </c>
      <c r="T256" t="str">
        <v>(2,523 B)</v>
      </c>
      <c r="U256" t="str">
        <v>(1,670 B)</v>
      </c>
      <c r="V256" t="str">
        <v>669 B</v>
      </c>
      <c r="W256" t="str">
        <v>1,323 B</v>
      </c>
      <c r="X256" t="str">
        <v>420 B</v>
      </c>
      <c r="Y256" t="str">
        <v>637 B</v>
      </c>
    </row>
    <row r="257">
      <c r="B257" t="str">
        <v>Free cash flow per share (Annual)</v>
      </c>
      <c r="H257" t="str">
        <v>174.22</v>
      </c>
      <c r="I257" t="str">
        <v>104.12</v>
      </c>
      <c r="J257" t="str">
        <v>121.67</v>
      </c>
      <c r="K257" t="str">
        <v>141.81</v>
      </c>
      <c r="L257" t="str">
        <v>188.56</v>
      </c>
      <c r="M257" t="str">
        <v>68.51</v>
      </c>
      <c r="N257" t="str">
        <v>16.54</v>
      </c>
      <c r="O257" t="str">
        <v>-12.00</v>
      </c>
      <c r="P257" t="str">
        <v>-41.00</v>
      </c>
      <c r="Q257" t="str">
        <v>-8.95</v>
      </c>
      <c r="R257" t="str">
        <v>-55.43</v>
      </c>
      <c r="S257" t="str">
        <v>-176.59</v>
      </c>
      <c r="T257" t="str">
        <v>-264.49</v>
      </c>
      <c r="U257" t="str">
        <v>-175.11</v>
      </c>
      <c r="V257" t="str">
        <v>70.12</v>
      </c>
      <c r="W257" t="str">
        <v>138.73</v>
      </c>
      <c r="X257" t="str">
        <v>44.01</v>
      </c>
      <c r="Y257" t="str">
        <v>66.83</v>
      </c>
    </row>
    <row r="259">
      <c r="A259" t="str">
        <v>Key Stats</v>
      </c>
      <c r="B259" t="str">
        <v>Net Income</v>
      </c>
      <c r="C259" t="str">
        <v>3,407 B</v>
      </c>
      <c r="D259" t="str">
        <v>1,234 B</v>
      </c>
      <c r="E259" t="str">
        <v>1,278 B</v>
      </c>
      <c r="F259" t="str">
        <v>2,565 B</v>
      </c>
      <c r="G259" t="str">
        <v>13,627 B</v>
      </c>
      <c r="H259" t="str">
        <v>7,209 B</v>
      </c>
      <c r="I259" t="str">
        <v>3,647 B</v>
      </c>
      <c r="J259" t="str">
        <v>3,078 B</v>
      </c>
      <c r="K259" t="str">
        <v>3,821 B</v>
      </c>
      <c r="L259" t="str">
        <v>1,862 B</v>
      </c>
      <c r="M259" t="str">
        <v>1,149 B</v>
      </c>
      <c r="N259" t="str">
        <v>194 B</v>
      </c>
      <c r="O259" t="str">
        <v>874 B</v>
      </c>
      <c r="P259" t="str">
        <v>137 B</v>
      </c>
    </row>
    <row r="260">
      <c r="B260" t="str">
        <v>Net Income - TTM (Q1)</v>
      </c>
      <c r="G260" t="str">
        <v>8,484 B</v>
      </c>
      <c r="H260" t="str">
        <v>7,209 B</v>
      </c>
      <c r="I260" t="str">
        <v>3,647 B</v>
      </c>
      <c r="J260" t="str">
        <v>3,078 B</v>
      </c>
      <c r="K260" t="str">
        <v>3,821 B</v>
      </c>
      <c r="L260" t="str">
        <v>1,862 B</v>
      </c>
      <c r="M260" t="str">
        <v>1,149 B</v>
      </c>
      <c r="N260" t="str">
        <v>194 B</v>
      </c>
      <c r="O260" t="str">
        <v>874 B</v>
      </c>
      <c r="P260" t="str">
        <v>137 B</v>
      </c>
    </row>
    <row r="261">
      <c r="B261" t="str">
        <v>Net Income - Div (TTM)</v>
      </c>
      <c r="G261" t="str">
        <v>209.99</v>
      </c>
      <c r="H261" t="str">
        <v>209.99</v>
      </c>
      <c r="I261" t="str">
        <v>151.77</v>
      </c>
      <c r="J261" t="str">
        <v>128.07</v>
      </c>
      <c r="K261" t="str">
        <v>79.50</v>
      </c>
      <c r="L261" t="str">
        <v>38.74</v>
      </c>
      <c r="M261" t="str">
        <v>16.74</v>
      </c>
      <c r="N261" t="str">
        <v>2.82</v>
      </c>
      <c r="O261" t="str">
        <v>12.74</v>
      </c>
      <c r="P261" t="str">
        <v>1.99</v>
      </c>
    </row>
    <row r="262">
      <c r="B262" t="str">
        <v>Net Income - Payout Ratio</v>
      </c>
      <c r="G262" t="str">
        <v>37.03%</v>
      </c>
      <c r="H262" t="str">
        <v>70.00%</v>
      </c>
      <c r="I262" t="str">
        <v>100.00%</v>
      </c>
      <c r="J262" t="str">
        <v>100.00%</v>
      </c>
      <c r="K262" t="str">
        <v>50.00%</v>
      </c>
      <c r="L262" t="str">
        <v>50.00%</v>
      </c>
      <c r="M262" t="str">
        <v>35.00%</v>
      </c>
      <c r="N262" t="str">
        <v>34.96%</v>
      </c>
      <c r="O262" t="str">
        <v>35.01%</v>
      </c>
      <c r="P262" t="str">
        <v>35.03%</v>
      </c>
    </row>
    <row r="263">
      <c r="B263" t="str">
        <v>Net Income - Div Yield</v>
      </c>
      <c r="G263" t="str">
        <v>7.37%</v>
      </c>
      <c r="H263" t="str">
        <v>6.56%</v>
      </c>
      <c r="I263" t="str">
        <v>4.74%</v>
      </c>
      <c r="J263" t="str">
        <v>7.74%</v>
      </c>
      <c r="K263" t="str">
        <v>3.96%</v>
      </c>
      <c r="L263" t="str">
        <v>1.55%</v>
      </c>
      <c r="M263" t="str">
        <v>0.72%</v>
      </c>
      <c r="N263" t="str">
        <v>0.46%</v>
      </c>
      <c r="O263" t="str">
        <v>1.61%</v>
      </c>
      <c r="P263" t="str">
        <v>0.21%</v>
      </c>
    </row>
    <row r="264">
      <c r="B264" t="str">
        <v>EPS</v>
      </c>
      <c r="C264" t="str">
        <v>141.77</v>
      </c>
      <c r="D264" t="str">
        <v>51.36</v>
      </c>
      <c r="E264" t="str">
        <v>53.19</v>
      </c>
      <c r="F264" t="str">
        <v>106.75</v>
      </c>
      <c r="G264" t="str">
        <v>567.07</v>
      </c>
      <c r="H264" t="str">
        <v>299.98</v>
      </c>
      <c r="I264" t="str">
        <v>151.77</v>
      </c>
      <c r="J264" t="str">
        <v>128.07</v>
      </c>
      <c r="K264" t="str">
        <v>159.00</v>
      </c>
      <c r="L264" t="str">
        <v>77.47</v>
      </c>
      <c r="M264" t="str">
        <v>47.83</v>
      </c>
      <c r="N264" t="str">
        <v>8.07</v>
      </c>
      <c r="O264" t="str">
        <v>36.39</v>
      </c>
      <c r="P264" t="str">
        <v>5.68</v>
      </c>
    </row>
    <row r="265">
      <c r="B265" t="str">
        <v>EPS - TTM (Q1)</v>
      </c>
      <c r="G265" t="str">
        <v>353.07</v>
      </c>
      <c r="H265" t="str">
        <v>299.98</v>
      </c>
      <c r="I265" t="str">
        <v>151.77</v>
      </c>
      <c r="J265" t="str">
        <v>128.07</v>
      </c>
      <c r="K265" t="str">
        <v>159.00</v>
      </c>
      <c r="L265" t="str">
        <v>77.47</v>
      </c>
      <c r="M265" t="str">
        <v>47.83</v>
      </c>
      <c r="N265" t="str">
        <v>8.07</v>
      </c>
      <c r="O265" t="str">
        <v>36.39</v>
      </c>
      <c r="P265" t="str">
        <v>5.68</v>
      </c>
    </row>
    <row r="266">
      <c r="B266" t="str">
        <v>EPS - Div (TTM)</v>
      </c>
      <c r="G266" t="str">
        <v>209.99</v>
      </c>
      <c r="H266" t="str">
        <v>209.99</v>
      </c>
      <c r="I266" t="str">
        <v>151.77</v>
      </c>
      <c r="J266" t="str">
        <v>128.07</v>
      </c>
      <c r="K266" t="str">
        <v>79.50</v>
      </c>
      <c r="L266" t="str">
        <v>38.74</v>
      </c>
      <c r="M266" t="str">
        <v>16.74</v>
      </c>
      <c r="N266" t="str">
        <v>2.82</v>
      </c>
      <c r="O266" t="str">
        <v>12.74</v>
      </c>
      <c r="P266" t="str">
        <v>1.99</v>
      </c>
    </row>
    <row r="267">
      <c r="B267" t="str">
        <v>EPS - Payout Ratio</v>
      </c>
      <c r="G267" t="str">
        <v>37.03%</v>
      </c>
      <c r="H267" t="str">
        <v>70.00%</v>
      </c>
      <c r="I267" t="str">
        <v>100.00%</v>
      </c>
      <c r="J267" t="str">
        <v>100.00%</v>
      </c>
      <c r="K267" t="str">
        <v>50.00%</v>
      </c>
      <c r="L267" t="str">
        <v>50.00%</v>
      </c>
      <c r="M267" t="str">
        <v>35.00%</v>
      </c>
      <c r="N267" t="str">
        <v>34.96%</v>
      </c>
      <c r="O267" t="str">
        <v>35.01%</v>
      </c>
      <c r="P267" t="str">
        <v>35.03%</v>
      </c>
    </row>
    <row r="268">
      <c r="B268" t="str">
        <v>EPS - Div Yield</v>
      </c>
      <c r="G268" t="str">
        <v>7.37%</v>
      </c>
      <c r="H268" t="str">
        <v>6.56%</v>
      </c>
      <c r="I268" t="str">
        <v>4.74%</v>
      </c>
      <c r="J268" t="str">
        <v>7.74%</v>
      </c>
      <c r="K268" t="str">
        <v>3.96%</v>
      </c>
      <c r="L268" t="str">
        <v>1.55%</v>
      </c>
      <c r="M268" t="str">
        <v>0.72%</v>
      </c>
      <c r="N268" t="str">
        <v>0.46%</v>
      </c>
      <c r="O268" t="str">
        <v>1.61%</v>
      </c>
      <c r="P268" t="str">
        <v>0.21%</v>
      </c>
    </row>
    <row r="269">
      <c r="B269" t="str">
        <v>Revenue</v>
      </c>
      <c r="C269" t="str">
        <v>29,323 B</v>
      </c>
      <c r="D269" t="str">
        <v>12,614 B</v>
      </c>
      <c r="E269" t="str">
        <v>13,008 B</v>
      </c>
      <c r="F269" t="str">
        <v>32,868 B</v>
      </c>
      <c r="G269" t="str">
        <v>117,293 B</v>
      </c>
      <c r="H269" t="str">
        <v>84,642 B</v>
      </c>
      <c r="I269" t="str">
        <v>69,192 B</v>
      </c>
      <c r="J269" t="str">
        <v>41,048 B</v>
      </c>
      <c r="K269" t="str">
        <v>45,930 B</v>
      </c>
      <c r="L269" t="str">
        <v>38,446 B</v>
      </c>
      <c r="M269" t="str">
        <v>27,372 B</v>
      </c>
      <c r="N269" t="str">
        <v>32,719 B</v>
      </c>
      <c r="O269" t="str">
        <v>25,241 B</v>
      </c>
      <c r="P269" t="str">
        <v>12,654 B</v>
      </c>
    </row>
    <row r="270">
      <c r="B270" t="str">
        <v>Revenue - TTM (Q1)</v>
      </c>
      <c r="G270" t="str">
        <v>87,814 B</v>
      </c>
      <c r="H270" t="str">
        <v>84,642 B</v>
      </c>
      <c r="I270" t="str">
        <v>69,192 B</v>
      </c>
      <c r="J270" t="str">
        <v>41,048 B</v>
      </c>
      <c r="K270" t="str">
        <v>45,930 B</v>
      </c>
      <c r="L270" t="str">
        <v>38,446 B</v>
      </c>
      <c r="M270" t="str">
        <v>27,372 B</v>
      </c>
      <c r="N270" t="str">
        <v>32,719 B</v>
      </c>
      <c r="O270" t="str">
        <v>25,241 B</v>
      </c>
      <c r="P270" t="str">
        <v>12,654 B</v>
      </c>
    </row>
    <row r="271">
      <c r="B271" t="str">
        <v>Revenue - Div (TTM)</v>
      </c>
      <c r="G271" t="str">
        <v>209.99</v>
      </c>
      <c r="H271" t="str">
        <v>209.99</v>
      </c>
      <c r="I271" t="str">
        <v>151.77</v>
      </c>
      <c r="J271" t="str">
        <v>128.07</v>
      </c>
      <c r="K271" t="str">
        <v>79.50</v>
      </c>
      <c r="L271" t="str">
        <v>38.74</v>
      </c>
      <c r="M271" t="str">
        <v>16.74</v>
      </c>
      <c r="N271" t="str">
        <v>2.82</v>
      </c>
      <c r="O271" t="str">
        <v>12.74</v>
      </c>
      <c r="P271" t="str">
        <v>1.99</v>
      </c>
    </row>
    <row r="272">
      <c r="B272" t="str">
        <v>Revenue - Payout Ratio</v>
      </c>
      <c r="G272" t="str">
        <v>37.03%</v>
      </c>
      <c r="H272" t="str">
        <v>70.00%</v>
      </c>
      <c r="I272" t="str">
        <v>100.00%</v>
      </c>
      <c r="J272" t="str">
        <v>100.00%</v>
      </c>
      <c r="K272" t="str">
        <v>50.00%</v>
      </c>
      <c r="L272" t="str">
        <v>50.00%</v>
      </c>
      <c r="M272" t="str">
        <v>35.00%</v>
      </c>
      <c r="N272" t="str">
        <v>34.96%</v>
      </c>
      <c r="O272" t="str">
        <v>35.01%</v>
      </c>
      <c r="P272" t="str">
        <v>35.03%</v>
      </c>
    </row>
    <row r="273">
      <c r="B273" t="str">
        <v>Revenue - Div Yield</v>
      </c>
      <c r="G273" t="str">
        <v>7.37%</v>
      </c>
      <c r="H273" t="str">
        <v>6.56%</v>
      </c>
      <c r="I273" t="str">
        <v>4.74%</v>
      </c>
      <c r="J273" t="str">
        <v>7.74%</v>
      </c>
      <c r="K273" t="str">
        <v>3.96%</v>
      </c>
      <c r="L273" t="str">
        <v>1.55%</v>
      </c>
      <c r="M273" t="str">
        <v>0.72%</v>
      </c>
      <c r="N273" t="str">
        <v>0.46%</v>
      </c>
      <c r="O273" t="str">
        <v>1.61%</v>
      </c>
      <c r="P273" t="str">
        <v>0.21%</v>
      </c>
    </row>
    <row r="274">
      <c r="B274" t="str">
        <v>Current PE Ratio (Annualised)</v>
      </c>
      <c r="H274" t="str">
        <v>5.03</v>
      </c>
    </row>
    <row r="275">
      <c r="B275" t="str">
        <v>Current PE Ratio (TTM)</v>
      </c>
      <c r="H275" t="str">
        <v>8.07</v>
      </c>
    </row>
    <row r="276">
      <c r="B276" t="str">
        <v>Forward PE Ratio</v>
      </c>
      <c r="H276" t="str">
        <v>6.81</v>
      </c>
    </row>
    <row r="277">
      <c r="B277" t="str">
        <v>IHSG PE Ratio TTM (Median)</v>
      </c>
      <c r="H277" t="str">
        <v>7.41</v>
      </c>
    </row>
    <row r="278">
      <c r="B278" t="str">
        <v>Earnings Yield (TTM)</v>
      </c>
      <c r="H278" t="str">
        <v>12.39%</v>
      </c>
    </row>
    <row r="279">
      <c r="B279" t="str">
        <v>Current Price to Sales (TTM)</v>
      </c>
      <c r="H279" t="str">
        <v>0.78</v>
      </c>
    </row>
    <row r="280">
      <c r="B280" t="str">
        <v>Current Price to Book Value</v>
      </c>
      <c r="H280" t="str">
        <v>1.76</v>
      </c>
    </row>
    <row r="281">
      <c r="B281" t="str">
        <v>Current Price To Cashflow (TTM)</v>
      </c>
      <c r="H281" t="str">
        <v>-178.84</v>
      </c>
    </row>
    <row r="282">
      <c r="B282" t="str">
        <v>Current Price To Free Cashflow (TTM)</v>
      </c>
      <c r="H282" t="str">
        <v>-78.33</v>
      </c>
    </row>
    <row r="283">
      <c r="B283" t="str">
        <v>EV to EBIT (TTM)</v>
      </c>
      <c r="H283" t="str">
        <v>6.52</v>
      </c>
    </row>
    <row r="284">
      <c r="B284" t="str">
        <v>EV to EBITDA (TTM)</v>
      </c>
      <c r="H284" t="str">
        <v>5.96</v>
      </c>
    </row>
    <row r="285">
      <c r="B285" t="str">
        <v>PEG Ratio</v>
      </c>
      <c r="H285" t="str">
        <v>0.08</v>
      </c>
    </row>
    <row r="286">
      <c r="B286" t="str">
        <v>PEG Ratio (3yr)</v>
      </c>
      <c r="H286" t="str">
        <v>0.34</v>
      </c>
    </row>
    <row r="287">
      <c r="B287" t="str">
        <v>PEG (Forward)</v>
      </c>
      <c r="H287" t="str">
        <v>0.56</v>
      </c>
    </row>
    <row r="288">
      <c r="B288" t="str">
        <v>Current EPS (TTM)</v>
      </c>
      <c r="H288" t="str">
        <v>353.07</v>
      </c>
    </row>
    <row r="289">
      <c r="B289" t="str">
        <v>Current EPS (Annualised)</v>
      </c>
      <c r="H289" t="str">
        <v>567.07</v>
      </c>
    </row>
    <row r="290">
      <c r="B290" t="str">
        <v>Revenue Per Share (TTM)</v>
      </c>
      <c r="H290" t="str">
        <v>3,654.24</v>
      </c>
    </row>
    <row r="291">
      <c r="B291" t="str">
        <v>Cash Per Share (Quarter)</v>
      </c>
      <c r="C291" t="str">
        <v>376.12</v>
      </c>
    </row>
    <row r="292">
      <c r="B292" t="str">
        <v>Current Book Value Per Share</v>
      </c>
      <c r="H292" t="str">
        <v>1,616.55</v>
      </c>
    </row>
    <row r="293">
      <c r="B293" t="str">
        <v>Free Cashflow Per Share (TTM)</v>
      </c>
      <c r="H293" t="str">
        <v>-36.38</v>
      </c>
    </row>
    <row r="294">
      <c r="B294" t="str">
        <v>Current Ratio (Quarter)</v>
      </c>
      <c r="C294" t="str">
        <v>1.98</v>
      </c>
    </row>
    <row r="295">
      <c r="B295" t="str">
        <v>Quick Ratio (Quarter)</v>
      </c>
      <c r="C295" t="str">
        <v>0.97</v>
      </c>
    </row>
    <row r="296">
      <c r="B296" t="str">
        <v>Debt to Equity Ratio (Quarter)</v>
      </c>
      <c r="C296" t="str">
        <v>0.14</v>
      </c>
    </row>
    <row r="297">
      <c r="B297" t="str">
        <v>Total Liabilities/Equity (Quarter)</v>
      </c>
      <c r="C297" t="str">
        <v>0.59</v>
      </c>
    </row>
    <row r="298">
      <c r="B298" t="str">
        <v>Total Debt/Total Assets (Quarter)</v>
      </c>
      <c r="C298" t="str">
        <v>0.09</v>
      </c>
    </row>
    <row r="299">
      <c r="B299" t="str">
        <v>Financial Leverage (Quarter)</v>
      </c>
      <c r="C299" t="str">
        <v>1.63</v>
      </c>
    </row>
    <row r="300">
      <c r="B300" t="str">
        <v>Interest Coverage (TTM)</v>
      </c>
      <c r="H300" t="str">
        <v>40.52</v>
      </c>
    </row>
    <row r="301">
      <c r="B301" t="str">
        <v>Free cash flow (Quarter)</v>
      </c>
      <c r="C301" t="str">
        <v>(3,251 B)</v>
      </c>
    </row>
    <row r="302">
      <c r="B302" t="str">
        <v>Altman Z-Score (Modified)</v>
      </c>
      <c r="H302" t="str">
        <v>5.71</v>
      </c>
    </row>
    <row r="303">
      <c r="B303" t="str">
        <v>Return on Assets (TTM)</v>
      </c>
      <c r="H303" t="str">
        <v>13.40%</v>
      </c>
    </row>
    <row r="304">
      <c r="B304" t="str">
        <v>Return on Equity (TTM)</v>
      </c>
      <c r="H304" t="str">
        <v>21.84%</v>
      </c>
    </row>
    <row r="305">
      <c r="B305" t="str">
        <v>Return on Capital Employed (TTM)</v>
      </c>
      <c r="H305" t="str">
        <v>22.85%</v>
      </c>
    </row>
    <row r="306">
      <c r="B306" t="str">
        <v>Return On Invested Capital (TTM)</v>
      </c>
      <c r="H306" t="str">
        <v>19.40%</v>
      </c>
    </row>
    <row r="307">
      <c r="B307" t="str">
        <v>Days Sales Outstanding (Quarter)</v>
      </c>
      <c r="C307" t="str">
        <v>8.45</v>
      </c>
    </row>
    <row r="308">
      <c r="B308" t="str">
        <v>Days Inventory (Quarter)</v>
      </c>
      <c r="C308" t="str">
        <v>47.18</v>
      </c>
    </row>
    <row r="309">
      <c r="B309" t="str">
        <v>Days Payables Outstanding (Quarter)</v>
      </c>
      <c r="C309" t="str">
        <v>6.01</v>
      </c>
    </row>
    <row r="310">
      <c r="B310" t="str">
        <v>Cash Conversion Cycle (Quarter)</v>
      </c>
      <c r="C310" t="str">
        <v>49.62</v>
      </c>
    </row>
    <row r="311">
      <c r="B311" t="str">
        <v>Receivables Turnover (Quarter)</v>
      </c>
      <c r="C311" t="str">
        <v>10.77</v>
      </c>
    </row>
    <row r="312">
      <c r="B312" t="str">
        <v>Asset Turnover (TTM)</v>
      </c>
      <c r="H312" t="str">
        <v>1.52</v>
      </c>
    </row>
    <row r="313">
      <c r="B313" t="str">
        <v>Inventory Turnover (TTM)</v>
      </c>
      <c r="H313" t="str">
        <v>5.87</v>
      </c>
    </row>
    <row r="314">
      <c r="B314" t="str">
        <v>Market Cap</v>
      </c>
      <c r="H314" t="str">
        <v>68,488 B</v>
      </c>
    </row>
    <row r="315">
      <c r="B315" t="str">
        <v>Enterprise Value</v>
      </c>
      <c r="H315" t="str">
        <v>66,597 B</v>
      </c>
    </row>
    <row r="316">
      <c r="B316" t="str">
        <v>Current Share Outstanding</v>
      </c>
      <c r="H316" t="str">
        <v>24.03 B</v>
      </c>
    </row>
    <row r="317">
      <c r="B317" t="str">
        <v>Free Float</v>
      </c>
      <c r="H317" t="str">
        <v>34.84%</v>
      </c>
    </row>
    <row r="318">
      <c r="B318" t="str">
        <v>Gross Profit Margin (Quarter)</v>
      </c>
      <c r="C318" t="str">
        <v>19.15%</v>
      </c>
    </row>
    <row r="319">
      <c r="B319" t="str">
        <v>Operating Profit Margin (Quarter)</v>
      </c>
      <c r="C319" t="str">
        <v>15.36%</v>
      </c>
    </row>
    <row r="320">
      <c r="B320" t="str">
        <v>Net Profit Margin (Quarter)</v>
      </c>
      <c r="C320" t="str">
        <v>11.62%</v>
      </c>
    </row>
    <row r="321">
      <c r="B321" t="str">
        <v>Revenue (Quarter YoY Growth)</v>
      </c>
      <c r="C321" t="str">
        <v>12.13%</v>
      </c>
    </row>
    <row r="322">
      <c r="B322" t="str">
        <v>Gross Profit (Quarter YoY Growth)</v>
      </c>
      <c r="C322" t="str">
        <v>54.46%</v>
      </c>
    </row>
    <row r="323">
      <c r="B323" t="str">
        <v>Net Income (Quarter YoY Growth)</v>
      </c>
      <c r="C323" t="str">
        <v>59.85%</v>
      </c>
    </row>
    <row r="324">
      <c r="B324" t="str">
        <v>Dividend</v>
      </c>
      <c r="H324" t="str">
        <v>151.77</v>
      </c>
    </row>
    <row r="325">
      <c r="B325" t="str">
        <v>Dividend (TTM)</v>
      </c>
      <c r="H325" t="str">
        <v>209.99</v>
      </c>
    </row>
    <row r="326">
      <c r="B326" t="str">
        <v>Payout Ratio</v>
      </c>
      <c r="H326" t="str">
        <v>37.03%</v>
      </c>
    </row>
    <row r="327">
      <c r="B327" t="str">
        <v>Dividend Yield</v>
      </c>
      <c r="H327" t="str">
        <v>7.37%</v>
      </c>
    </row>
    <row r="328">
      <c r="B328" t="str">
        <v>Latest Dividend Ex-Date</v>
      </c>
      <c r="H328" t="str">
        <v>23 Jun 25</v>
      </c>
    </row>
    <row r="329">
      <c r="B329" t="str">
        <v>Piotroski F-Score</v>
      </c>
      <c r="H329" t="str">
        <v>6.00</v>
      </c>
    </row>
    <row r="330">
      <c r="B330" t="str">
        <v>EPS Rating</v>
      </c>
      <c r="H330" t="str">
        <v>60.00%</v>
      </c>
    </row>
    <row r="331">
      <c r="B331" t="str">
        <v>Relative Strength Rating</v>
      </c>
      <c r="H331" t="str">
        <v>30.00%</v>
      </c>
    </row>
    <row r="332">
      <c r="B332" t="str">
        <v>Rank (Market Cap)</v>
      </c>
      <c r="H332" t="str">
        <v>97.00%</v>
      </c>
    </row>
    <row r="333">
      <c r="B333" t="str">
        <v>Rank (Current PE Ratio TTM)</v>
      </c>
      <c r="H333" t="str">
        <v>74.00%</v>
      </c>
    </row>
    <row r="334">
      <c r="B334" t="str">
        <v>Rank (Earnings Yield)</v>
      </c>
      <c r="H334" t="str">
        <v>78.00%</v>
      </c>
    </row>
    <row r="335">
      <c r="B335" t="str">
        <v>Rank (P/S)</v>
      </c>
      <c r="H335" t="str">
        <v>64.00%</v>
      </c>
    </row>
    <row r="336">
      <c r="B336" t="str">
        <v>Rank (P/B)</v>
      </c>
      <c r="H336" t="str">
        <v>35.00%</v>
      </c>
    </row>
    <row r="337">
      <c r="B337" t="str">
        <v>Rank (Near 52 Weeks High)</v>
      </c>
      <c r="H337" t="str">
        <v>54.00%</v>
      </c>
    </row>
    <row r="338">
      <c r="B338" t="str">
        <v>Revenue (TTM)</v>
      </c>
      <c r="H338" t="str">
        <v>87,814 B</v>
      </c>
    </row>
    <row r="339">
      <c r="B339" t="str">
        <v>Gross Profit (TTM)</v>
      </c>
      <c r="H339" t="str">
        <v>15,662 B</v>
      </c>
    </row>
    <row r="340">
      <c r="B340" t="str">
        <v>EBITDA (TTM)</v>
      </c>
      <c r="H340" t="str">
        <v>11,168 B</v>
      </c>
    </row>
    <row r="341">
      <c r="B341" t="str">
        <v>Net Income (TTM)</v>
      </c>
      <c r="H341" t="str">
        <v>8,484 B</v>
      </c>
    </row>
    <row r="342">
      <c r="B342" t="str">
        <v>Cash (Quarter)</v>
      </c>
      <c r="C342" t="str">
        <v>9,039 B</v>
      </c>
    </row>
    <row r="343">
      <c r="B343" t="str">
        <v>Total Assets (Quarter)</v>
      </c>
      <c r="C343" t="str">
        <v>63,296 B</v>
      </c>
    </row>
    <row r="344">
      <c r="B344" t="str">
        <v>Total Liabilities (Quarter)</v>
      </c>
      <c r="C344" t="str">
        <v>22,890 B</v>
      </c>
    </row>
    <row r="345">
      <c r="B345" t="str">
        <v>Working Capital (Quarter)</v>
      </c>
      <c r="C345" t="str">
        <v>16,409 B</v>
      </c>
    </row>
    <row r="346">
      <c r="B346" t="str">
        <v>Common Equity</v>
      </c>
      <c r="H346" t="str">
        <v>38,847 B</v>
      </c>
    </row>
    <row r="347">
      <c r="B347" t="str">
        <v>Long-term Debt (Quarter)</v>
      </c>
      <c r="C347" t="str">
        <v>39 B</v>
      </c>
    </row>
    <row r="348">
      <c r="B348" t="str">
        <v>Short-term Debt (Quarter)</v>
      </c>
      <c r="C348" t="str">
        <v>5,550 B</v>
      </c>
    </row>
    <row r="349">
      <c r="B349" t="str">
        <v>Total Debt (Quarter)</v>
      </c>
      <c r="C349" t="str">
        <v>5,589 B</v>
      </c>
    </row>
    <row r="350">
      <c r="B350" t="str">
        <v>Net Debt (Quarter)</v>
      </c>
      <c r="C350" t="str">
        <v>(3,450 B)</v>
      </c>
    </row>
    <row r="351">
      <c r="B351" t="str">
        <v>Total Equity</v>
      </c>
      <c r="H351" t="str">
        <v>40,406 B</v>
      </c>
    </row>
    <row r="352">
      <c r="B352" t="str">
        <v>Cash From Operations (TTM)</v>
      </c>
      <c r="H352" t="str">
        <v>(383 B)</v>
      </c>
    </row>
    <row r="353">
      <c r="B353" t="str">
        <v>Cash From Investing (TTM)</v>
      </c>
      <c r="H353" t="str">
        <v>(1,939 B)</v>
      </c>
    </row>
    <row r="354">
      <c r="B354" t="str">
        <v>Cash From Financing (TTM)</v>
      </c>
      <c r="H354" t="str">
        <v>4,434 B</v>
      </c>
    </row>
    <row r="355">
      <c r="B355" t="str">
        <v>Capital expenditure (TTM)</v>
      </c>
      <c r="H355" t="str">
        <v>(491 B)</v>
      </c>
    </row>
    <row r="356">
      <c r="B356" t="str">
        <v>Free cash flow (TTM)</v>
      </c>
      <c r="H356" t="str">
        <v>(874 B)</v>
      </c>
    </row>
  </sheetData>
  <ignoredErrors>
    <ignoredError numberStoredAsText="1" sqref="A1:Z3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336"/>
  <sheetViews>
    <sheetView workbookViewId="0"/>
  </sheetViews>
  <cols>
    <col min="1" max="1" width="38.83203125" customWidth="1"/>
    <col min="2" max="2" width="28.83203125" customWidth="1"/>
    <col min="3" max="3" width="3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</cols>
  <sheetData>
    <row r="1">
      <c r="C1" t="str">
        <v>BBCA</v>
      </c>
      <c r="D1" t="str">
        <v>Q1</v>
      </c>
      <c r="H1" t="str">
        <v>tahun Berjalan</v>
      </c>
      <c r="I1" s="1">
        <v>45656</v>
      </c>
      <c r="J1" s="1">
        <v>45290</v>
      </c>
      <c r="K1" s="1">
        <v>44925</v>
      </c>
      <c r="L1" s="1">
        <v>44560</v>
      </c>
      <c r="M1" s="1">
        <v>44195</v>
      </c>
      <c r="N1" s="1">
        <v>43829</v>
      </c>
      <c r="O1" s="1">
        <v>43464</v>
      </c>
      <c r="P1" s="1">
        <v>43099</v>
      </c>
      <c r="Q1" s="1">
        <v>42734</v>
      </c>
      <c r="R1" s="1">
        <v>42368</v>
      </c>
      <c r="S1" s="1">
        <v>42003</v>
      </c>
      <c r="T1" s="1">
        <v>41638</v>
      </c>
      <c r="U1" s="1">
        <v>41273</v>
      </c>
      <c r="V1" s="1">
        <v>40907</v>
      </c>
      <c r="W1" s="1">
        <v>40542</v>
      </c>
      <c r="X1" s="1">
        <v>40177</v>
      </c>
      <c r="Y1" s="1">
        <v>39812</v>
      </c>
      <c r="Z1" s="1">
        <v>39446</v>
      </c>
    </row>
    <row r="2">
      <c r="C2" t="str">
        <v>#VALUE!</v>
      </c>
      <c r="D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>
      <c r="D3" t="str">
        <v>Apr 2026</v>
      </c>
    </row>
    <row r="4">
      <c r="B4" t="str">
        <v>LABA KOTOR</v>
      </c>
      <c r="C4" t="str">
        <v>Total Pendapatan</v>
      </c>
      <c r="D4" s="2">
        <f>IFERROR(INDEX(C51:C500,MATCH($C$4,$B$51:$B$500,0)),"")</f>
        <v>0</v>
      </c>
      <c r="H4" s="2">
        <f>IFERROR(SUM(D4:G4)*(4/MAX(1,COUNT(D4:G4))),=IFERROR(INDEX(H51:H500,MATCH($C$4,$B$51:$B$500,0)),""))</f>
        <v>0</v>
      </c>
      <c r="I4" s="2">
        <f>IFERROR(INDEX(I51:I500,MATCH($C$4,$B$51:$B$500,0)),"")</f>
        <v>0</v>
      </c>
      <c r="J4" s="2">
        <f>IFERROR(INDEX(J51:J500,MATCH($C$4,$B$51:$B$500,0)),"")</f>
        <v>0</v>
      </c>
      <c r="K4" s="2">
        <f>IFERROR(INDEX(K51:K500,MATCH($C$4,$B$51:$B$500,0)),"")</f>
        <v>0</v>
      </c>
      <c r="L4" s="2">
        <f>IFERROR(INDEX(L51:L500,MATCH($C$4,$B$51:$B$500,0)),"")</f>
        <v>0</v>
      </c>
      <c r="M4" s="2">
        <f>IFERROR(INDEX(M51:M500,MATCH($C$4,$B$51:$B$500,0)),"")</f>
        <v>0</v>
      </c>
      <c r="N4" s="2">
        <f>IFERROR(INDEX(N51:N500,MATCH($C$4,$B$51:$B$500,0)),"")</f>
        <v>0</v>
      </c>
      <c r="O4" s="2">
        <f>IFERROR(INDEX(O51:O500,MATCH($C$4,$B$51:$B$500,0)),"")</f>
        <v>0</v>
      </c>
      <c r="P4" s="2">
        <f>IFERROR(INDEX(P51:P500,MATCH($C$4,$B$51:$B$500,0)),"")</f>
        <v>0</v>
      </c>
      <c r="Q4" s="2">
        <f>IFERROR(INDEX(Q51:Q500,MATCH($C$4,$B$51:$B$500,0)),"")</f>
        <v>0</v>
      </c>
      <c r="R4" s="2">
        <f>IFERROR(INDEX(R51:R500,MATCH($C$4,$B$51:$B$500,0)),"")</f>
        <v>0</v>
      </c>
      <c r="S4" s="2">
        <f>IFERROR(INDEX(S51:S500,MATCH($C$4,$B$51:$B$500,0)),"")</f>
        <v>0</v>
      </c>
      <c r="T4" s="2">
        <f>IFERROR(INDEX(T51:T500,MATCH($C$4,$B$51:$B$500,0)),"")</f>
        <v>0</v>
      </c>
      <c r="U4" s="2">
        <f>IFERROR(INDEX(U51:U500,MATCH($C$4,$B$51:$B$500,0)),"")</f>
        <v>0</v>
      </c>
      <c r="V4" s="2">
        <f>IFERROR(INDEX(V51:V500,MATCH($C$4,$B$51:$B$500,0)),"")</f>
        <v>0</v>
      </c>
      <c r="W4" s="2">
        <f>IFERROR(INDEX(W51:W500,MATCH($C$4,$B$51:$B$500,0)),"")</f>
        <v>0</v>
      </c>
      <c r="X4" s="2">
        <f>IFERROR(INDEX(X51:X500,MATCH($C$4,$B$51:$B$500,0)),"")</f>
        <v>0</v>
      </c>
      <c r="Y4" s="2">
        <f>IFERROR(INDEX(Y51:Y500,MATCH($C$4,$B$51:$B$500,0)),"")</f>
        <v>0</v>
      </c>
      <c r="Z4" s="2">
        <f>IFERROR(INDEX(Z51:Z500,MATCH($C$4,$B$51:$B$500,0)),"")</f>
        <v>0</v>
      </c>
    </row>
    <row r="5">
      <c r="B5" t="str">
        <v>BERSIH</v>
      </c>
      <c r="C5" t="str">
        <v>Pemilik Entitas Induk</v>
      </c>
      <c r="D5" s="2">
        <f>IFERROR(INDEX(C51:C500,MATCH($C$5,$B$51:$B$500,0)),"")</f>
        <v>0</v>
      </c>
      <c r="H5" s="2">
        <f>IFERROR(SUM(D5:G5)*(4/MAX(1,COUNT(D5:G5))),=IFERROR(INDEX(H51:H500,MATCH($C$5,$B$51:$B$500,0)),""))</f>
        <v>0</v>
      </c>
      <c r="I5" s="2">
        <f>IFERROR(INDEX(I51:I500,MATCH($C$5,$B$51:$B$500,0)),"")</f>
        <v>0</v>
      </c>
      <c r="J5" s="2">
        <f>IFERROR(INDEX(J51:J500,MATCH($C$5,$B$51:$B$500,0)),"")</f>
        <v>0</v>
      </c>
      <c r="K5" s="2">
        <f>IFERROR(INDEX(K51:K500,MATCH($C$5,$B$51:$B$500,0)),"")</f>
        <v>0</v>
      </c>
      <c r="L5" s="2">
        <f>IFERROR(INDEX(L51:L500,MATCH($C$5,$B$51:$B$500,0)),"")</f>
        <v>0</v>
      </c>
      <c r="M5" s="2">
        <f>IFERROR(INDEX(M51:M500,MATCH($C$5,$B$51:$B$500,0)),"")</f>
        <v>0</v>
      </c>
      <c r="N5" s="2">
        <f>IFERROR(INDEX(N51:N500,MATCH($C$5,$B$51:$B$500,0)),"")</f>
        <v>0</v>
      </c>
      <c r="O5" s="2">
        <f>IFERROR(INDEX(O51:O500,MATCH($C$5,$B$51:$B$500,0)),"")</f>
        <v>0</v>
      </c>
      <c r="P5" s="2">
        <f>IFERROR(INDEX(P51:P500,MATCH($C$5,$B$51:$B$500,0)),"")</f>
        <v>0</v>
      </c>
      <c r="Q5" s="2">
        <f>IFERROR(INDEX(Q51:Q500,MATCH($C$5,$B$51:$B$500,0)),"")</f>
        <v>0</v>
      </c>
      <c r="R5" s="2">
        <f>IFERROR(INDEX(R51:R500,MATCH($C$5,$B$51:$B$500,0)),"")</f>
        <v>0</v>
      </c>
      <c r="S5" s="2">
        <f>IFERROR(INDEX(S51:S500,MATCH($C$5,$B$51:$B$500,0)),"")</f>
        <v>0</v>
      </c>
      <c r="T5" s="2">
        <f>IFERROR(INDEX(T51:T500,MATCH($C$5,$B$51:$B$500,0)),"")</f>
        <v>0</v>
      </c>
      <c r="U5" s="2">
        <f>IFERROR(INDEX(U51:U500,MATCH($C$5,$B$51:$B$500,0)),"")</f>
        <v>0</v>
      </c>
      <c r="V5" s="2">
        <f>IFERROR(INDEX(V51:V500,MATCH($C$5,$B$51:$B$500,0)),"")</f>
        <v>0</v>
      </c>
      <c r="W5" s="2">
        <f>IFERROR(INDEX(W51:W500,MATCH($C$5,$B$51:$B$500,0)),"")</f>
        <v>0</v>
      </c>
      <c r="X5" s="2">
        <f>IFERROR(INDEX(X51:X500,MATCH($C$5,$B$51:$B$500,0)),"")</f>
        <v>0</v>
      </c>
      <c r="Y5" s="2">
        <f>IFERROR(INDEX(Y51:Y500,MATCH($C$5,$B$51:$B$500,0)),"")</f>
        <v>0</v>
      </c>
      <c r="Z5" s="2">
        <f>IFERROR(INDEX(Z51:Z500,MATCH($C$5,$B$51:$B$500,0)),"")</f>
        <v>0</v>
      </c>
    </row>
    <row r="6">
      <c r="B6" t="str">
        <v>EQUITY</v>
      </c>
      <c r="C6" t="str">
        <v>Total Ekuitas</v>
      </c>
      <c r="D6" s="2">
        <f>IFERROR(INDEX(C51:C500,MATCH($C$6,$B$51:$B$500,0)),"")</f>
        <v>0</v>
      </c>
      <c r="H6" s="2">
        <f>IFERROR(INDEX(H51:H500,MATCH($C$6,$B$51:$B$500,0)),"")</f>
        <v>0</v>
      </c>
      <c r="I6" s="2">
        <f>IFERROR(INDEX(I51:I500,MATCH($C$6,$B$51:$B$500,0)),"")</f>
        <v>0</v>
      </c>
      <c r="J6" s="2">
        <f>IFERROR(INDEX(J51:J500,MATCH($C$6,$B$51:$B$500,0)),"")</f>
        <v>0</v>
      </c>
      <c r="K6" s="2">
        <f>IFERROR(INDEX(K51:K500,MATCH($C$6,$B$51:$B$500,0)),"")</f>
        <v>0</v>
      </c>
      <c r="L6" s="2">
        <f>IFERROR(INDEX(L51:L500,MATCH($C$6,$B$51:$B$500,0)),"")</f>
        <v>0</v>
      </c>
      <c r="M6" s="2">
        <f>IFERROR(INDEX(M51:M500,MATCH($C$6,$B$51:$B$500,0)),"")</f>
        <v>0</v>
      </c>
      <c r="N6" s="2">
        <f>IFERROR(INDEX(N51:N500,MATCH($C$6,$B$51:$B$500,0)),"")</f>
        <v>0</v>
      </c>
      <c r="O6" s="2">
        <f>IFERROR(INDEX(O51:O500,MATCH($C$6,$B$51:$B$500,0)),"")</f>
        <v>0</v>
      </c>
      <c r="P6" s="2">
        <f>IFERROR(INDEX(P51:P500,MATCH($C$6,$B$51:$B$500,0)),"")</f>
        <v>0</v>
      </c>
      <c r="Q6" s="2">
        <f>IFERROR(INDEX(Q51:Q500,MATCH($C$6,$B$51:$B$500,0)),"")</f>
        <v>0</v>
      </c>
      <c r="R6" s="2">
        <f>IFERROR(INDEX(R51:R500,MATCH($C$6,$B$51:$B$500,0)),"")</f>
        <v>0</v>
      </c>
      <c r="S6" s="2">
        <f>IFERROR(INDEX(S51:S500,MATCH($C$6,$B$51:$B$500,0)),"")</f>
        <v>0</v>
      </c>
      <c r="T6" s="2">
        <f>IFERROR(INDEX(T51:T500,MATCH($C$6,$B$51:$B$500,0)),"")</f>
        <v>0</v>
      </c>
      <c r="U6" s="2">
        <f>IFERROR(INDEX(U51:U500,MATCH($C$6,$B$51:$B$500,0)),"")</f>
        <v>0</v>
      </c>
      <c r="V6" s="2">
        <f>IFERROR(INDEX(V51:V500,MATCH($C$6,$B$51:$B$500,0)),"")</f>
        <v>0</v>
      </c>
      <c r="W6" s="2">
        <f>IFERROR(INDEX(W51:W500,MATCH($C$6,$B$51:$B$500,0)),"")</f>
        <v>0</v>
      </c>
      <c r="X6" s="2">
        <f>IFERROR(INDEX(X51:X500,MATCH($C$6,$B$51:$B$500,0)),"")</f>
        <v>0</v>
      </c>
      <c r="Y6" s="2">
        <f>IFERROR(INDEX(Y51:Y500,MATCH($C$6,$B$51:$B$500,0)),"")</f>
        <v>0</v>
      </c>
      <c r="Z6" s="2">
        <f>IFERROR(INDEX(Z51:Z500,MATCH($C$6,$B$51:$B$500,0)),"")</f>
        <v>0</v>
      </c>
    </row>
    <row r="7">
      <c r="B7" t="str">
        <v>SAHAM BEREDAR</v>
      </c>
      <c r="C7" t="str">
        <v>Share Outstanding</v>
      </c>
      <c r="D7" s="2">
        <f>IFERROR(INDEX(C51:C500,MATCH("Share Outstanding",$B$51:$B$500,0)),IFERROR(INDEX(C51:C500,MATCH($C$7,$B$51:$B$500,0)),""))</f>
        <v>0</v>
      </c>
      <c r="H7" s="2">
        <f>IFERROR(INDEX(H51:H500,MATCH($C$7,$B$51:$B$500,0)),"")</f>
        <v>0</v>
      </c>
      <c r="I7" s="2">
        <f>IFERROR(INDEX(I51:I500,MATCH($C$7,$B$51:$B$500,0)),"")</f>
        <v>0</v>
      </c>
      <c r="J7" s="2">
        <f>IFERROR(INDEX(J51:J500,MATCH($C$7,$B$51:$B$500,0)),"")</f>
        <v>0</v>
      </c>
      <c r="K7" s="2">
        <f>IFERROR(INDEX(K51:K500,MATCH($C$7,$B$51:$B$500,0)),"")</f>
        <v>0</v>
      </c>
      <c r="L7" s="2">
        <f>IFERROR(INDEX(L51:L500,MATCH($C$7,$B$51:$B$500,0)),"")</f>
        <v>0</v>
      </c>
      <c r="M7" s="2">
        <f>IFERROR(INDEX(M51:M500,MATCH($C$7,$B$51:$B$500,0)),"")</f>
        <v>0</v>
      </c>
      <c r="N7" s="2">
        <f>IFERROR(INDEX(N51:N500,MATCH($C$7,$B$51:$B$500,0)),"")</f>
        <v>0</v>
      </c>
      <c r="O7" s="2">
        <f>IFERROR(INDEX(O51:O500,MATCH($C$7,$B$51:$B$500,0)),"")</f>
        <v>0</v>
      </c>
      <c r="P7" s="2">
        <f>IFERROR(INDEX(P51:P500,MATCH($C$7,$B$51:$B$500,0)),"")</f>
        <v>0</v>
      </c>
      <c r="Q7" s="2">
        <f>IFERROR(INDEX(Q51:Q500,MATCH($C$7,$B$51:$B$500,0)),"")</f>
        <v>0</v>
      </c>
      <c r="R7" s="2">
        <f>IFERROR(INDEX(R51:R500,MATCH($C$7,$B$51:$B$500,0)),"")</f>
        <v>0</v>
      </c>
      <c r="S7" s="2">
        <f>IFERROR(INDEX(S51:S500,MATCH($C$7,$B$51:$B$500,0)),"")</f>
        <v>0</v>
      </c>
      <c r="T7" s="2">
        <f>IFERROR(INDEX(T51:T500,MATCH($C$7,$B$51:$B$500,0)),"")</f>
        <v>0</v>
      </c>
      <c r="U7" s="2">
        <f>IFERROR(INDEX(U51:U500,MATCH($C$7,$B$51:$B$500,0)),"")</f>
        <v>0</v>
      </c>
      <c r="V7" s="2">
        <f>IFERROR(INDEX(V51:V500,MATCH($C$7,$B$51:$B$500,0)),"")</f>
        <v>0</v>
      </c>
      <c r="W7" s="2">
        <f>IFERROR(INDEX(W51:W500,MATCH($C$7,$B$51:$B$500,0)),"")</f>
        <v>0</v>
      </c>
      <c r="X7" s="2">
        <f>IFERROR(INDEX(X51:X500,MATCH($C$7,$B$51:$B$500,0)),"")</f>
        <v>0</v>
      </c>
      <c r="Y7" s="2">
        <f>IFERROR(INDEX(Y51:Y500,MATCH($C$7,$B$51:$B$500,0)),"")</f>
        <v>0</v>
      </c>
      <c r="Z7" s="2">
        <f>IFERROR(INDEX(Z51:Z500,MATCH($C$7,$B$51:$B$500,0)),"")</f>
        <v>0</v>
      </c>
    </row>
    <row r="8">
      <c r="A8" t="str">
        <v>Free cash flow (Quarter)</v>
      </c>
      <c r="B8" t="str">
        <v>FCF</v>
      </c>
      <c r="C8" t="str">
        <v>Free cash flow (Annual)</v>
      </c>
      <c r="D8" s="2">
        <f>IFERROR(INDEX(C51:C500,MATCH("Free cash flow (Quarter)",$B$51:$B$500,0)),"")</f>
        <v>0</v>
      </c>
      <c r="H8" s="2">
        <f>IFERROR(INDEX(H51:H500,MATCH($C$8,$B$51:$B$500,0)),"")</f>
        <v>0</v>
      </c>
      <c r="I8" s="2">
        <f>IFERROR(INDEX(I51:I500,MATCH($C$8,$B$51:$B$500,0)),"")</f>
        <v>0</v>
      </c>
      <c r="J8" s="2">
        <f>IFERROR(INDEX(J51:J500,MATCH($C$8,$B$51:$B$500,0)),"")</f>
        <v>0</v>
      </c>
      <c r="K8" s="2">
        <f>IFERROR(INDEX(K51:K500,MATCH($C$8,$B$51:$B$500,0)),"")</f>
        <v>0</v>
      </c>
      <c r="L8" s="2">
        <f>IFERROR(INDEX(L51:L500,MATCH($C$8,$B$51:$B$500,0)),"")</f>
        <v>0</v>
      </c>
      <c r="M8" s="2">
        <f>IFERROR(INDEX(M51:M500,MATCH($C$8,$B$51:$B$500,0)),"")</f>
        <v>0</v>
      </c>
      <c r="N8" s="2">
        <f>IFERROR(INDEX(N51:N500,MATCH($C$8,$B$51:$B$500,0)),"")</f>
        <v>0</v>
      </c>
      <c r="O8" s="2">
        <f>IFERROR(INDEX(O51:O500,MATCH($C$8,$B$51:$B$500,0)),"")</f>
        <v>0</v>
      </c>
      <c r="P8" s="2">
        <f>IFERROR(INDEX(P51:P500,MATCH($C$8,$B$51:$B$500,0)),"")</f>
        <v>0</v>
      </c>
      <c r="Q8" s="2">
        <f>IFERROR(INDEX(Q51:Q500,MATCH($C$8,$B$51:$B$500,0)),"")</f>
        <v>0</v>
      </c>
      <c r="R8" s="2">
        <f>IFERROR(INDEX(R51:R500,MATCH($C$8,$B$51:$B$500,0)),"")</f>
        <v>0</v>
      </c>
      <c r="S8" s="2">
        <f>IFERROR(INDEX(S51:S500,MATCH($C$8,$B$51:$B$500,0)),"")</f>
        <v>0</v>
      </c>
      <c r="T8" s="2">
        <f>IFERROR(INDEX(T51:T500,MATCH($C$8,$B$51:$B$500,0)),"")</f>
        <v>0</v>
      </c>
      <c r="U8" s="2">
        <f>IFERROR(INDEX(U51:U500,MATCH($C$8,$B$51:$B$500,0)),"")</f>
        <v>0</v>
      </c>
      <c r="V8" s="2">
        <f>IFERROR(INDEX(V51:V500,MATCH($C$8,$B$51:$B$500,0)),"")</f>
        <v>0</v>
      </c>
      <c r="W8" s="2">
        <f>IFERROR(INDEX(W51:W500,MATCH($C$8,$B$51:$B$500,0)),"")</f>
        <v>0</v>
      </c>
      <c r="X8" s="2">
        <f>IFERROR(INDEX(X51:X500,MATCH($C$8,$B$51:$B$500,0)),"")</f>
        <v>0</v>
      </c>
      <c r="Y8" s="2">
        <f>IFERROR(INDEX(Y51:Y500,MATCH($C$8,$B$51:$B$500,0)),"")</f>
        <v>0</v>
      </c>
      <c r="Z8" s="2">
        <f>IFERROR(INDEX(Z51:Z500,MATCH($C$8,$B$51:$B$500,0)),"")</f>
        <v>0</v>
      </c>
    </row>
    <row r="9">
      <c r="A9" t="str">
        <v>Free cash flow per share (Quarter)</v>
      </c>
      <c r="C9" t="str">
        <v>Free cash flow per share (Annual)</v>
      </c>
      <c r="D9" s="2">
        <f>IFERROR(INDEX(C51:C500,MATCH("Free cash flow per share (Quarter)",$B$51:$B$500,0)),"")</f>
        <v>0</v>
      </c>
      <c r="H9" s="2">
        <f>IFERROR(INDEX(H51:H500,MATCH($C$9,$B$51:$B$500,0)),"")</f>
        <v>0</v>
      </c>
      <c r="I9" s="2">
        <f>IFERROR(INDEX(I51:I500,MATCH($C$9,$B$51:$B$500,0)),"")</f>
        <v>0</v>
      </c>
      <c r="J9" s="2">
        <f>IFERROR(INDEX(J51:J500,MATCH($C$9,$B$51:$B$500,0)),"")</f>
        <v>0</v>
      </c>
      <c r="K9" s="2">
        <f>IFERROR(INDEX(K51:K500,MATCH($C$9,$B$51:$B$500,0)),"")</f>
        <v>0</v>
      </c>
      <c r="L9" s="2">
        <f>IFERROR(INDEX(L51:L500,MATCH($C$9,$B$51:$B$500,0)),"")</f>
        <v>0</v>
      </c>
      <c r="M9" s="2">
        <f>IFERROR(INDEX(M51:M500,MATCH($C$9,$B$51:$B$500,0)),"")</f>
        <v>0</v>
      </c>
      <c r="N9" s="2">
        <f>IFERROR(INDEX(N51:N500,MATCH($C$9,$B$51:$B$500,0)),"")</f>
        <v>0</v>
      </c>
      <c r="O9" s="2">
        <f>IFERROR(INDEX(O51:O500,MATCH($C$9,$B$51:$B$500,0)),"")</f>
        <v>0</v>
      </c>
      <c r="P9" s="2">
        <f>IFERROR(INDEX(P51:P500,MATCH($C$9,$B$51:$B$500,0)),"")</f>
        <v>0</v>
      </c>
      <c r="Q9" s="2">
        <f>IFERROR(INDEX(Q51:Q500,MATCH($C$9,$B$51:$B$500,0)),"")</f>
        <v>0</v>
      </c>
      <c r="R9" s="2">
        <f>IFERROR(INDEX(R51:R500,MATCH($C$9,$B$51:$B$500,0)),"")</f>
        <v>0</v>
      </c>
      <c r="S9" s="2">
        <f>IFERROR(INDEX(S51:S500,MATCH($C$9,$B$51:$B$500,0)),"")</f>
        <v>0</v>
      </c>
      <c r="T9" s="2">
        <f>IFERROR(INDEX(T51:T500,MATCH($C$9,$B$51:$B$500,0)),"")</f>
        <v>0</v>
      </c>
      <c r="U9" s="2">
        <f>IFERROR(INDEX(U51:U500,MATCH($C$9,$B$51:$B$500,0)),"")</f>
        <v>0</v>
      </c>
      <c r="V9" s="2">
        <f>IFERROR(INDEX(V51:V500,MATCH($C$9,$B$51:$B$500,0)),"")</f>
        <v>0</v>
      </c>
      <c r="W9" s="2">
        <f>IFERROR(INDEX(W51:W500,MATCH($C$9,$B$51:$B$500,0)),"")</f>
        <v>0</v>
      </c>
      <c r="X9" s="2">
        <f>IFERROR(INDEX(X51:X500,MATCH($C$9,$B$51:$B$500,0)),"")</f>
        <v>0</v>
      </c>
      <c r="Y9" s="2">
        <f>IFERROR(INDEX(Y51:Y500,MATCH($C$9,$B$51:$B$500,0)),"")</f>
        <v>0</v>
      </c>
      <c r="Z9" s="2">
        <f>IFERROR(INDEX(Z51:Z500,MATCH($C$9,$B$51:$B$500,0)),"")</f>
        <v>0</v>
      </c>
    </row>
    <row r="10">
      <c r="C10" t="str">
        <v>Price to Free Cash Flow (P/FCF)</v>
      </c>
      <c r="D10" s="2">
        <f>IFERROR(IF(D9=0,"",D2/D9),"")</f>
        <v>0</v>
      </c>
      <c r="I10" s="2">
        <f>IFERROR(IF(I9=0,"",I2/I9),"")</f>
        <v>0</v>
      </c>
      <c r="J10" s="2">
        <f>IFERROR(IF(J9=0,"",J2/J9),"")</f>
        <v>0</v>
      </c>
      <c r="K10" s="2">
        <f>IFERROR(IF(K9=0,"",K2/K9),"")</f>
        <v>0</v>
      </c>
      <c r="L10" s="2">
        <f>IFERROR(IF(L9=0,"",L2/L9),"")</f>
        <v>0</v>
      </c>
      <c r="M10" s="2">
        <f>IFERROR(IF(M9=0,"",M2/M9),"")</f>
        <v>0</v>
      </c>
      <c r="N10" s="2">
        <f>IFERROR(IF(N9=0,"",N2/N9),"")</f>
        <v>0</v>
      </c>
      <c r="O10" s="2">
        <f>IFERROR(IF(O9=0,"",O2/O9),"")</f>
        <v>0</v>
      </c>
      <c r="P10" s="2">
        <f>IFERROR(IF(P9=0,"",P2/P9),"")</f>
        <v>0</v>
      </c>
      <c r="Q10" s="2">
        <f>IFERROR(IF(Q9=0,"",Q2/Q9),"")</f>
        <v>0</v>
      </c>
      <c r="R10" s="2">
        <f>IFERROR(IF(R9=0,"",R2/R9),"")</f>
        <v>0</v>
      </c>
      <c r="S10" s="2">
        <f>IFERROR(IF(S9=0,"",S2/S9),"")</f>
        <v>0</v>
      </c>
      <c r="T10" s="2">
        <f>IFERROR(IF(T9=0,"",T2/T9),"")</f>
        <v>0</v>
      </c>
      <c r="U10" s="2">
        <f>IFERROR(IF(U9=0,"",U2/U9),"")</f>
        <v>0</v>
      </c>
      <c r="V10" s="2">
        <f>IFERROR(IF(V9=0,"",V2/V9),"")</f>
        <v>0</v>
      </c>
      <c r="W10" s="2">
        <f>IFERROR(IF(W9=0,"",W2/W9),"")</f>
        <v>0</v>
      </c>
      <c r="X10" s="2">
        <f>IFERROR(IF(X9=0,"",X2/X9),"")</f>
        <v>0</v>
      </c>
      <c r="Y10" s="2">
        <f>IFERROR(IF(Y9=0,"",Y2/Y9),"")</f>
        <v>0</v>
      </c>
      <c r="Z10" s="2">
        <f>IFERROR(IF(Z9=0,"",Z2/Z9),"")</f>
        <v>0</v>
      </c>
    </row>
    <row r="11">
      <c r="B11" t="str">
        <v>Total Kas</v>
      </c>
      <c r="C11" t="str">
        <v>Kas Dan Setara Kas</v>
      </c>
      <c r="D11" s="2">
        <f>IFERROR(INDEX(C51:C500,MATCH($C$11,$B$51:$B$500,0)),"")</f>
        <v>0</v>
      </c>
      <c r="H11" s="2">
        <f>IFERROR(INDEX(H51:H500,MATCH($C$11,$B$51:$B$500,0)),"")</f>
        <v>0</v>
      </c>
      <c r="I11" s="2">
        <f>IFERROR(INDEX(I51:I500,MATCH($C$11,$B$51:$B$500,0)),"")</f>
        <v>0</v>
      </c>
      <c r="J11" s="2">
        <f>IFERROR(INDEX(J51:J500,MATCH($C$11,$B$51:$B$500,0)),"")</f>
        <v>0</v>
      </c>
      <c r="K11" s="2">
        <f>IFERROR(INDEX(K51:K500,MATCH($C$11,$B$51:$B$500,0)),"")</f>
        <v>0</v>
      </c>
      <c r="L11" s="2">
        <f>IFERROR(INDEX(L51:L500,MATCH($C$11,$B$51:$B$500,0)),"")</f>
        <v>0</v>
      </c>
      <c r="M11" s="2">
        <f>IFERROR(INDEX(M51:M500,MATCH($C$11,$B$51:$B$500,0)),"")</f>
        <v>0</v>
      </c>
      <c r="N11" s="2">
        <f>IFERROR(INDEX(N51:N500,MATCH($C$11,$B$51:$B$500,0)),"")</f>
        <v>0</v>
      </c>
      <c r="O11" s="2">
        <f>IFERROR(INDEX(O51:O500,MATCH($C$11,$B$51:$B$500,0)),"")</f>
        <v>0</v>
      </c>
      <c r="P11" s="2">
        <f>IFERROR(INDEX(P51:P500,MATCH($C$11,$B$51:$B$500,0)),"")</f>
        <v>0</v>
      </c>
      <c r="Q11" s="2">
        <f>IFERROR(INDEX(Q51:Q500,MATCH($C$11,$B$51:$B$500,0)),"")</f>
        <v>0</v>
      </c>
      <c r="R11" s="2">
        <f>IFERROR(INDEX(R51:R500,MATCH($C$11,$B$51:$B$500,0)),"")</f>
        <v>0</v>
      </c>
      <c r="S11" s="2">
        <f>IFERROR(INDEX(S51:S500,MATCH($C$11,$B$51:$B$500,0)),"")</f>
        <v>0</v>
      </c>
      <c r="T11" s="2">
        <f>IFERROR(INDEX(T51:T500,MATCH($C$11,$B$51:$B$500,0)),"")</f>
        <v>0</v>
      </c>
      <c r="U11" s="2">
        <f>IFERROR(INDEX(U51:U500,MATCH($C$11,$B$51:$B$500,0)),"")</f>
        <v>0</v>
      </c>
      <c r="V11" s="2">
        <f>IFERROR(INDEX(V51:V500,MATCH($C$11,$B$51:$B$500,0)),"")</f>
        <v>0</v>
      </c>
      <c r="W11" s="2">
        <f>IFERROR(INDEX(W51:W500,MATCH($C$11,$B$51:$B$500,0)),"")</f>
        <v>0</v>
      </c>
      <c r="X11" s="2">
        <f>IFERROR(INDEX(X51:X500,MATCH($C$11,$B$51:$B$500,0)),"")</f>
        <v>0</v>
      </c>
      <c r="Y11" s="2">
        <f>IFERROR(INDEX(Y51:Y500,MATCH($C$11,$B$51:$B$500,0)),"")</f>
        <v>0</v>
      </c>
      <c r="Z11" s="2">
        <f>IFERROR(INDEX(Z51:Z500,MATCH($C$11,$B$51:$B$500,0)),"")</f>
        <v>0</v>
      </c>
    </row>
    <row r="12">
      <c r="A12" t="str">
        <v>Net Debt (Quarter)</v>
      </c>
      <c r="B12" t="str">
        <v>Net hutang sudah di kurangi kas</v>
      </c>
      <c r="C12" t="str">
        <v>Net Debt (Annual)</v>
      </c>
      <c r="D12" s="2">
        <f>IFERROR(INDEX(C51:C500,MATCH("Net Debt (Quarter)",$B$51:$B$500,0)),"")</f>
        <v>0</v>
      </c>
      <c r="H12" s="2">
        <f>IFERROR(INDEX(H51:H500,MATCH($C$12,$B$51:$B$500,0)),"")</f>
        <v>0</v>
      </c>
      <c r="I12" s="2">
        <f>IFERROR(INDEX(I51:I500,MATCH($C$12,$B$51:$B$500,0)),"")</f>
        <v>0</v>
      </c>
      <c r="J12" s="2">
        <f>IFERROR(INDEX(J51:J500,MATCH($C$12,$B$51:$B$500,0)),"")</f>
        <v>0</v>
      </c>
      <c r="K12" s="2">
        <f>IFERROR(INDEX(K51:K500,MATCH($C$12,$B$51:$B$500,0)),"")</f>
        <v>0</v>
      </c>
      <c r="L12" s="2">
        <f>IFERROR(INDEX(L51:L500,MATCH($C$12,$B$51:$B$500,0)),"")</f>
        <v>0</v>
      </c>
      <c r="M12" s="2">
        <f>IFERROR(INDEX(M51:M500,MATCH($C$12,$B$51:$B$500,0)),"")</f>
        <v>0</v>
      </c>
      <c r="N12" s="2">
        <f>IFERROR(INDEX(N51:N500,MATCH($C$12,$B$51:$B$500,0)),"")</f>
        <v>0</v>
      </c>
      <c r="O12" s="2">
        <f>IFERROR(INDEX(O51:O500,MATCH($C$12,$B$51:$B$500,0)),"")</f>
        <v>0</v>
      </c>
      <c r="P12" s="2">
        <f>IFERROR(INDEX(P51:P500,MATCH($C$12,$B$51:$B$500,0)),"")</f>
        <v>0</v>
      </c>
      <c r="Q12" s="2">
        <f>IFERROR(INDEX(Q51:Q500,MATCH($C$12,$B$51:$B$500,0)),"")</f>
        <v>0</v>
      </c>
      <c r="R12" s="2">
        <f>IFERROR(INDEX(R51:R500,MATCH($C$12,$B$51:$B$500,0)),"")</f>
        <v>0</v>
      </c>
      <c r="S12" s="2">
        <f>IFERROR(INDEX(S51:S500,MATCH($C$12,$B$51:$B$500,0)),"")</f>
        <v>0</v>
      </c>
      <c r="T12" s="2">
        <f>IFERROR(INDEX(T51:T500,MATCH($C$12,$B$51:$B$500,0)),"")</f>
        <v>0</v>
      </c>
      <c r="U12" s="2">
        <f>IFERROR(INDEX(U51:U500,MATCH($C$12,$B$51:$B$500,0)),"")</f>
        <v>0</v>
      </c>
      <c r="V12" s="2">
        <f>IFERROR(INDEX(V51:V500,MATCH($C$12,$B$51:$B$500,0)),"")</f>
        <v>0</v>
      </c>
      <c r="W12" s="2">
        <f>IFERROR(INDEX(W51:W500,MATCH($C$12,$B$51:$B$500,0)),"")</f>
        <v>0</v>
      </c>
      <c r="X12" s="2">
        <f>IFERROR(INDEX(X51:X500,MATCH($C$12,$B$51:$B$500,0)),"")</f>
        <v>0</v>
      </c>
      <c r="Y12" s="2">
        <f>IFERROR(INDEX(Y51:Y500,MATCH($C$12,$B$51:$B$500,0)),"")</f>
        <v>0</v>
      </c>
      <c r="Z12" s="2">
        <f>IFERROR(INDEX(Z51:Z500,MATCH($C$12,$B$51:$B$500,0)),"")</f>
        <v>0</v>
      </c>
    </row>
    <row r="13">
      <c r="A13" t="str">
        <v>Total Debt (Quarter)</v>
      </c>
      <c r="B13" t="str">
        <v>WACC</v>
      </c>
      <c r="C13" t="str">
        <v>Total Debt (Annual)</v>
      </c>
      <c r="D13" s="2">
        <f>IFERROR(INDEX(C51:C500,MATCH("Total Debt (Quarter)",$B$51:$B$500,0)),"")</f>
        <v>0</v>
      </c>
      <c r="H13" s="2">
        <f>IFERROR(INDEX(H51:H500,MATCH($C$13,$B$51:$B$500,0)),"")</f>
        <v>0</v>
      </c>
      <c r="I13" s="2">
        <f>IFERROR(INDEX(I51:I500,MATCH($C$13,$B$51:$B$500,0)),"")</f>
        <v>0</v>
      </c>
      <c r="J13" s="2">
        <f>IFERROR(INDEX(J51:J500,MATCH($C$13,$B$51:$B$500,0)),"")</f>
        <v>0</v>
      </c>
      <c r="K13" s="2">
        <f>IFERROR(INDEX(K51:K500,MATCH($C$13,$B$51:$B$500,0)),"")</f>
        <v>0</v>
      </c>
      <c r="L13" s="2">
        <f>IFERROR(INDEX(L51:L500,MATCH($C$13,$B$51:$B$500,0)),"")</f>
        <v>0</v>
      </c>
      <c r="M13" s="2">
        <f>IFERROR(INDEX(M51:M500,MATCH($C$13,$B$51:$B$500,0)),"")</f>
        <v>0</v>
      </c>
      <c r="N13" s="2">
        <f>IFERROR(INDEX(N51:N500,MATCH($C$13,$B$51:$B$500,0)),"")</f>
        <v>0</v>
      </c>
      <c r="O13" s="2">
        <f>IFERROR(INDEX(O51:O500,MATCH($C$13,$B$51:$B$500,0)),"")</f>
        <v>0</v>
      </c>
      <c r="P13" s="2">
        <f>IFERROR(INDEX(P51:P500,MATCH($C$13,$B$51:$B$500,0)),"")</f>
        <v>0</v>
      </c>
      <c r="Q13" s="2">
        <f>IFERROR(INDEX(Q51:Q500,MATCH($C$13,$B$51:$B$500,0)),"")</f>
        <v>0</v>
      </c>
      <c r="R13" s="2">
        <f>IFERROR(INDEX(R51:R500,MATCH($C$13,$B$51:$B$500,0)),"")</f>
        <v>0</v>
      </c>
      <c r="S13" s="2">
        <f>IFERROR(INDEX(S51:S500,MATCH($C$13,$B$51:$B$500,0)),"")</f>
        <v>0</v>
      </c>
      <c r="T13" s="2">
        <f>IFERROR(INDEX(T51:T500,MATCH($C$13,$B$51:$B$500,0)),"")</f>
        <v>0</v>
      </c>
      <c r="U13" s="2">
        <f>IFERROR(INDEX(U51:U500,MATCH($C$13,$B$51:$B$500,0)),"")</f>
        <v>0</v>
      </c>
      <c r="V13" s="2">
        <f>IFERROR(INDEX(V51:V500,MATCH($C$13,$B$51:$B$500,0)),"")</f>
        <v>0</v>
      </c>
      <c r="W13" s="2">
        <f>IFERROR(INDEX(W51:W500,MATCH($C$13,$B$51:$B$500,0)),"")</f>
        <v>0</v>
      </c>
      <c r="X13" s="2">
        <f>IFERROR(INDEX(X51:X500,MATCH($C$13,$B$51:$B$500,0)),"")</f>
        <v>0</v>
      </c>
      <c r="Y13" s="2">
        <f>IFERROR(INDEX(Y51:Y500,MATCH($C$13,$B$51:$B$500,0)),"")</f>
        <v>0</v>
      </c>
      <c r="Z13" s="2">
        <f>IFERROR(INDEX(Z51:Z500,MATCH($C$13,$B$51:$B$500,0)),"")</f>
        <v>0</v>
      </c>
    </row>
    <row r="14">
      <c r="C14" t="str">
        <v>Beban Keuangan</v>
      </c>
      <c r="D14" s="2">
        <f>IFERROR(INDEX(C51:C500,MATCH($C$14,$B$51:$B$500,0)),"")</f>
        <v>0</v>
      </c>
      <c r="H14" s="2">
        <f>IFERROR(SUM(D14:G14)*(4/MAX(1,COUNT(D14:G14))),=IFERROR(INDEX(H51:H500,MATCH($C$14,$B$51:$B$500,0)),""))</f>
        <v>0</v>
      </c>
      <c r="I14" s="2">
        <f>IFERROR(INDEX(I51:I500,MATCH($C$14,$B$51:$B$500,0)),"")</f>
        <v>0</v>
      </c>
      <c r="J14" s="2">
        <f>IFERROR(INDEX(J51:J500,MATCH($C$14,$B$51:$B$500,0)),"")</f>
        <v>0</v>
      </c>
      <c r="K14" s="2">
        <f>IFERROR(INDEX(K51:K500,MATCH($C$14,$B$51:$B$500,0)),"")</f>
        <v>0</v>
      </c>
      <c r="L14" s="2">
        <f>IFERROR(INDEX(L51:L500,MATCH($C$14,$B$51:$B$500,0)),"")</f>
        <v>0</v>
      </c>
      <c r="M14" s="2">
        <f>IFERROR(INDEX(M51:M500,MATCH($C$14,$B$51:$B$500,0)),"")</f>
        <v>0</v>
      </c>
      <c r="N14" s="2">
        <f>IFERROR(INDEX(N51:N500,MATCH($C$14,$B$51:$B$500,0)),"")</f>
        <v>0</v>
      </c>
      <c r="O14" s="2">
        <f>IFERROR(INDEX(O51:O500,MATCH($C$14,$B$51:$B$500,0)),"")</f>
        <v>0</v>
      </c>
      <c r="P14" s="2">
        <f>IFERROR(INDEX(P51:P500,MATCH($C$14,$B$51:$B$500,0)),"")</f>
        <v>0</v>
      </c>
      <c r="Q14" s="2">
        <f>IFERROR(INDEX(Q51:Q500,MATCH($C$14,$B$51:$B$500,0)),"")</f>
        <v>0</v>
      </c>
      <c r="R14" s="2">
        <f>IFERROR(INDEX(R51:R500,MATCH($C$14,$B$51:$B$500,0)),"")</f>
        <v>0</v>
      </c>
      <c r="S14" s="2">
        <f>IFERROR(INDEX(S51:S500,MATCH($C$14,$B$51:$B$500,0)),"")</f>
        <v>0</v>
      </c>
      <c r="T14" s="2">
        <f>IFERROR(INDEX(T51:T500,MATCH($C$14,$B$51:$B$500,0)),"")</f>
        <v>0</v>
      </c>
      <c r="U14" s="2">
        <f>IFERROR(INDEX(U51:U500,MATCH($C$14,$B$51:$B$500,0)),"")</f>
        <v>0</v>
      </c>
      <c r="V14" s="2">
        <f>IFERROR(INDEX(V51:V500,MATCH($C$14,$B$51:$B$500,0)),"")</f>
        <v>0</v>
      </c>
      <c r="W14" s="2">
        <f>IFERROR(INDEX(W51:W500,MATCH($C$14,$B$51:$B$500,0)),"")</f>
        <v>0</v>
      </c>
      <c r="X14" s="2">
        <f>IFERROR(INDEX(X51:X500,MATCH($C$14,$B$51:$B$500,0)),"")</f>
        <v>0</v>
      </c>
      <c r="Y14" s="2">
        <f>IFERROR(INDEX(Y51:Y500,MATCH($C$14,$B$51:$B$500,0)),"")</f>
        <v>0</v>
      </c>
      <c r="Z14" s="2">
        <f>IFERROR(INDEX(Z51:Z500,MATCH($C$14,$B$51:$B$500,0)),"")</f>
        <v>0</v>
      </c>
    </row>
    <row r="15">
      <c r="C15" t="str">
        <v>Beban Pajak Penghasilan</v>
      </c>
      <c r="D15" s="2">
        <f>IFERROR(INDEX(C51:C500,MATCH($C$15,$B$51:$B$500,0)),"")</f>
        <v>0</v>
      </c>
      <c r="H15" s="2">
        <f>IFERROR(SUM(D15:G15)*(4/MAX(1,COUNT(D15:G15))),=IFERROR(INDEX(H51:H500,MATCH($C$15,$B$51:$B$500,0)),""))</f>
        <v>0</v>
      </c>
      <c r="I15" s="2">
        <f>IFERROR(INDEX(I51:I500,MATCH($C$15,$B$51:$B$500,0)),"")</f>
        <v>0</v>
      </c>
      <c r="J15" s="2">
        <f>IFERROR(INDEX(J51:J500,MATCH($C$15,$B$51:$B$500,0)),"")</f>
        <v>0</v>
      </c>
      <c r="K15" s="2">
        <f>IFERROR(INDEX(K51:K500,MATCH($C$15,$B$51:$B$500,0)),"")</f>
        <v>0</v>
      </c>
      <c r="L15" s="2">
        <f>IFERROR(INDEX(L51:L500,MATCH($C$15,$B$51:$B$500,0)),"")</f>
        <v>0</v>
      </c>
      <c r="M15" s="2">
        <f>IFERROR(INDEX(M51:M500,MATCH($C$15,$B$51:$B$500,0)),"")</f>
        <v>0</v>
      </c>
      <c r="N15" s="2">
        <f>IFERROR(INDEX(N51:N500,MATCH($C$15,$B$51:$B$500,0)),"")</f>
        <v>0</v>
      </c>
      <c r="O15" s="2">
        <f>IFERROR(INDEX(O51:O500,MATCH($C$15,$B$51:$B$500,0)),"")</f>
        <v>0</v>
      </c>
      <c r="P15" s="2">
        <f>IFERROR(INDEX(P51:P500,MATCH($C$15,$B$51:$B$500,0)),"")</f>
        <v>0</v>
      </c>
      <c r="Q15" s="2">
        <f>IFERROR(INDEX(Q51:Q500,MATCH($C$15,$B$51:$B$500,0)),"")</f>
        <v>0</v>
      </c>
      <c r="R15" s="2">
        <f>IFERROR(INDEX(R51:R500,MATCH($C$15,$B$51:$B$500,0)),"")</f>
        <v>0</v>
      </c>
      <c r="S15" s="2">
        <f>IFERROR(INDEX(S51:S500,MATCH($C$15,$B$51:$B$500,0)),"")</f>
        <v>0</v>
      </c>
      <c r="T15" s="2">
        <f>IFERROR(INDEX(T51:T500,MATCH($C$15,$B$51:$B$500,0)),"")</f>
        <v>0</v>
      </c>
      <c r="U15" s="2">
        <f>IFERROR(INDEX(U51:U500,MATCH($C$15,$B$51:$B$500,0)),"")</f>
        <v>0</v>
      </c>
      <c r="V15" s="2">
        <f>IFERROR(INDEX(V51:V500,MATCH($C$15,$B$51:$B$500,0)),"")</f>
        <v>0</v>
      </c>
      <c r="W15" s="2">
        <f>IFERROR(INDEX(W51:W500,MATCH($C$15,$B$51:$B$500,0)),"")</f>
        <v>0</v>
      </c>
      <c r="X15" s="2">
        <f>IFERROR(INDEX(X51:X500,MATCH($C$15,$B$51:$B$500,0)),"")</f>
        <v>0</v>
      </c>
      <c r="Y15" s="2">
        <f>IFERROR(INDEX(Y51:Y500,MATCH($C$15,$B$51:$B$500,0)),"")</f>
        <v>0</v>
      </c>
      <c r="Z15" s="2">
        <f>IFERROR(INDEX(Z51:Z500,MATCH($C$15,$B$51:$B$500,0)),"")</f>
        <v>0</v>
      </c>
    </row>
    <row r="16">
      <c r="C16" t="str">
        <v>Laba Sebelum Pajak</v>
      </c>
      <c r="D16" s="2">
        <f>IFERROR(INDEX(C51:C500,MATCH($C$16,$B$51:$B$500,0)),"")</f>
        <v>0</v>
      </c>
      <c r="H16" s="2">
        <f>IFERROR(SUM(D16:G16)*(4/MAX(1,COUNT(D16:G16))),=IFERROR(INDEX(H51:H500,MATCH($C$16,$B$51:$B$500,0)),""))</f>
        <v>0</v>
      </c>
      <c r="I16" s="2">
        <f>IFERROR(INDEX(I51:I500,MATCH($C$16,$B$51:$B$500,0)),"")</f>
        <v>0</v>
      </c>
      <c r="J16" s="2">
        <f>IFERROR(INDEX(J51:J500,MATCH($C$16,$B$51:$B$500,0)),"")</f>
        <v>0</v>
      </c>
      <c r="K16" s="2">
        <f>IFERROR(INDEX(K51:K500,MATCH($C$16,$B$51:$B$500,0)),"")</f>
        <v>0</v>
      </c>
      <c r="L16" s="2">
        <f>IFERROR(INDEX(L51:L500,MATCH($C$16,$B$51:$B$500,0)),"")</f>
        <v>0</v>
      </c>
      <c r="M16" s="2">
        <f>IFERROR(INDEX(M51:M500,MATCH($C$16,$B$51:$B$500,0)),"")</f>
        <v>0</v>
      </c>
      <c r="N16" s="2">
        <f>IFERROR(INDEX(N51:N500,MATCH($C$16,$B$51:$B$500,0)),"")</f>
        <v>0</v>
      </c>
      <c r="O16" s="2">
        <f>IFERROR(INDEX(O51:O500,MATCH($C$16,$B$51:$B$500,0)),"")</f>
        <v>0</v>
      </c>
      <c r="P16" s="2">
        <f>IFERROR(INDEX(P51:P500,MATCH($C$16,$B$51:$B$500,0)),"")</f>
        <v>0</v>
      </c>
      <c r="Q16" s="2">
        <f>IFERROR(INDEX(Q51:Q500,MATCH($C$16,$B$51:$B$500,0)),"")</f>
        <v>0</v>
      </c>
      <c r="R16" s="2">
        <f>IFERROR(INDEX(R51:R500,MATCH($C$16,$B$51:$B$500,0)),"")</f>
        <v>0</v>
      </c>
      <c r="S16" s="2">
        <f>IFERROR(INDEX(S51:S500,MATCH($C$16,$B$51:$B$500,0)),"")</f>
        <v>0</v>
      </c>
      <c r="T16" s="2">
        <f>IFERROR(INDEX(T51:T500,MATCH($C$16,$B$51:$B$500,0)),"")</f>
        <v>0</v>
      </c>
      <c r="U16" s="2">
        <f>IFERROR(INDEX(U51:U500,MATCH($C$16,$B$51:$B$500,0)),"")</f>
        <v>0</v>
      </c>
      <c r="V16" s="2">
        <f>IFERROR(INDEX(V51:V500,MATCH($C$16,$B$51:$B$500,0)),"")</f>
        <v>0</v>
      </c>
      <c r="W16" s="2">
        <f>IFERROR(INDEX(W51:W500,MATCH($C$16,$B$51:$B$500,0)),"")</f>
        <v>0</v>
      </c>
      <c r="X16" s="2">
        <f>IFERROR(INDEX(X51:X500,MATCH($C$16,$B$51:$B$500,0)),"")</f>
        <v>0</v>
      </c>
      <c r="Y16" s="2">
        <f>IFERROR(INDEX(Y51:Y500,MATCH($C$16,$B$51:$B$500,0)),"")</f>
        <v>0</v>
      </c>
      <c r="Z16" s="2">
        <f>IFERROR(INDEX(Z51:Z500,MATCH($C$16,$B$51:$B$500,0)),"")</f>
        <v>0</v>
      </c>
    </row>
    <row r="17">
      <c r="A17" t="str">
        <v>Cara Membaca P/FCF</v>
      </c>
    </row>
    <row r="18">
      <c r="A18" t="str">
        <v>Rendah (misal &lt; 15)</v>
      </c>
      <c r="D18" t="str">
        <v>Q1</v>
      </c>
      <c r="H18" t="str">
        <v>tahun Berjalan</v>
      </c>
      <c r="I18" t="str">
        <v>12M 2024</v>
      </c>
      <c r="J18" t="str">
        <v>12M 2023</v>
      </c>
      <c r="K18" t="str">
        <v>12M 2022</v>
      </c>
      <c r="L18" t="str">
        <v>12M 2021</v>
      </c>
      <c r="M18" t="str">
        <v>12M 2020</v>
      </c>
      <c r="N18" t="str">
        <v>12M 2019</v>
      </c>
      <c r="O18" t="str">
        <v>12M 2018</v>
      </c>
      <c r="P18" t="str">
        <v>12M 2017</v>
      </c>
      <c r="Q18" t="str">
        <v>12M 2016</v>
      </c>
      <c r="R18" t="str">
        <v>12M 2015</v>
      </c>
      <c r="S18" t="str">
        <v>12M 2014</v>
      </c>
      <c r="T18" t="str">
        <v>12M 2013</v>
      </c>
      <c r="U18" t="str">
        <v>12M 2012</v>
      </c>
      <c r="V18" t="str">
        <v>12M 2011</v>
      </c>
      <c r="W18" t="str">
        <v>12M 2010</v>
      </c>
      <c r="X18" t="str">
        <v>12M 2009</v>
      </c>
      <c r="Y18" t="str">
        <v>12M 2008</v>
      </c>
      <c r="Z18" t="str">
        <v>12M 2007</v>
      </c>
    </row>
    <row r="19">
      <c r="A19" t="str">
        <v>Tinggi (misal &gt; 30)</v>
      </c>
      <c r="C19" t="str">
        <v>Dalam IDR</v>
      </c>
    </row>
    <row r="20">
      <c r="A20" t="str">
        <v>FCF negatif — perusahaan belum menghasilkan kas bebas</v>
      </c>
      <c r="C20" t="str">
        <v>Market Cap</v>
      </c>
      <c r="D20" s="2">
        <f>D21*D2</f>
        <v>0</v>
      </c>
      <c r="H20" s="2">
        <f>H21*H2</f>
        <v>0</v>
      </c>
      <c r="I20" s="2">
        <f>I21*I2</f>
        <v>0</v>
      </c>
      <c r="J20" s="2">
        <f>J21*J2</f>
        <v>0</v>
      </c>
      <c r="K20" s="2">
        <f>K21*K2</f>
        <v>0</v>
      </c>
      <c r="L20" s="2">
        <f>L21*L2</f>
        <v>0</v>
      </c>
      <c r="M20" s="2">
        <f>M21*M2</f>
        <v>0</v>
      </c>
      <c r="N20" s="2">
        <f>N21*N2</f>
        <v>0</v>
      </c>
      <c r="O20" s="2">
        <f>O21*O2</f>
        <v>0</v>
      </c>
      <c r="P20" s="2">
        <f>P21*P2</f>
        <v>0</v>
      </c>
      <c r="Q20" s="2">
        <f>Q21*Q2</f>
        <v>0</v>
      </c>
      <c r="R20" s="2">
        <f>R21*R2</f>
        <v>0</v>
      </c>
      <c r="S20" s="2">
        <f>S21*S2</f>
        <v>0</v>
      </c>
      <c r="T20" s="2">
        <f>T21*T2</f>
        <v>0</v>
      </c>
      <c r="U20" s="2">
        <f>U21*U2</f>
        <v>0</v>
      </c>
      <c r="V20" s="2">
        <f>V21*V2</f>
        <v>0</v>
      </c>
      <c r="W20" s="2">
        <f>W21*W2</f>
        <v>0</v>
      </c>
      <c r="X20" s="2">
        <f>X21*X2</f>
        <v>0</v>
      </c>
      <c r="Y20" s="2">
        <f>Y21*Y2</f>
        <v>0</v>
      </c>
      <c r="Z20" s="2">
        <f>Z21*Z2</f>
        <v>0</v>
      </c>
    </row>
    <row r="21">
      <c r="C21" t="str">
        <v>Share Outstanding</v>
      </c>
      <c r="D21" s="2">
        <f>IFERROR(INDEX(C51:C500,MATCH("Share Outstanding",$B$51:$B$500,0)),"")</f>
        <v>0</v>
      </c>
      <c r="H21" s="2">
        <f>IFERROR(INDEX(H51:H500,MATCH("Share Outstanding",$B$51:$B$500,0)),"")</f>
        <v>0</v>
      </c>
      <c r="I21" s="2">
        <f>IFERROR(INDEX(I51:I500,MATCH("Share Outstanding",$B$51:$B$500,0)),"")</f>
        <v>0</v>
      </c>
      <c r="J21" s="2">
        <f>IFERROR(INDEX(J51:J500,MATCH("Share Outstanding",$B$51:$B$500,0)),"")</f>
        <v>0</v>
      </c>
      <c r="K21" s="2">
        <f>IFERROR(INDEX(K51:K500,MATCH("Share Outstanding",$B$51:$B$500,0)),"")</f>
        <v>0</v>
      </c>
      <c r="L21" s="2">
        <f>IFERROR(INDEX(L51:L500,MATCH("Share Outstanding",$B$51:$B$500,0)),"")</f>
        <v>0</v>
      </c>
      <c r="M21" s="2">
        <f>IFERROR(INDEX(M51:M500,MATCH("Share Outstanding",$B$51:$B$500,0)),"")</f>
        <v>0</v>
      </c>
      <c r="N21" s="2">
        <f>IFERROR(INDEX(N51:N500,MATCH("Share Outstanding",$B$51:$B$500,0)),"")</f>
        <v>0</v>
      </c>
      <c r="O21" s="2">
        <f>IFERROR(INDEX(O51:O500,MATCH("Share Outstanding",$B$51:$B$500,0)),"")</f>
        <v>0</v>
      </c>
      <c r="P21" s="2">
        <f>IFERROR(INDEX(P51:P500,MATCH("Share Outstanding",$B$51:$B$500,0)),"")</f>
        <v>0</v>
      </c>
      <c r="Q21" s="2">
        <f>IFERROR(INDEX(Q51:Q500,MATCH("Share Outstanding",$B$51:$B$500,0)),"")</f>
        <v>0</v>
      </c>
      <c r="R21" s="2">
        <f>IFERROR(INDEX(R51:R500,MATCH("Share Outstanding",$B$51:$B$500,0)),"")</f>
        <v>0</v>
      </c>
      <c r="S21" s="2">
        <f>IFERROR(INDEX(S51:S500,MATCH("Share Outstanding",$B$51:$B$500,0)),"")</f>
        <v>0</v>
      </c>
      <c r="T21" s="2">
        <f>IFERROR(INDEX(T51:T500,MATCH("Share Outstanding",$B$51:$B$500,0)),"")</f>
        <v>0</v>
      </c>
      <c r="U21" s="2">
        <f>IFERROR(INDEX(U51:U500,MATCH("Share Outstanding",$B$51:$B$500,0)),"")</f>
        <v>0</v>
      </c>
      <c r="V21" s="2">
        <f>IFERROR(INDEX(V51:V500,MATCH("Share Outstanding",$B$51:$B$500,0)),"")</f>
        <v>0</v>
      </c>
      <c r="W21" s="2">
        <f>IFERROR(INDEX(W51:W500,MATCH("Share Outstanding",$B$51:$B$500,0)),"")</f>
        <v>0</v>
      </c>
      <c r="X21" s="2">
        <f>IFERROR(INDEX(X51:X500,MATCH("Share Outstanding",$B$51:$B$500,0)),"")</f>
        <v>0</v>
      </c>
      <c r="Y21" s="2">
        <f>IFERROR(INDEX(Y51:Y500,MATCH("Share Outstanding",$B$51:$B$500,0)),"")</f>
        <v>0</v>
      </c>
      <c r="Z21" s="2">
        <f>IFERROR(INDEX(Z51:Z500,MATCH("Share Outstanding",$B$51:$B$500,0)),"")</f>
        <v>0</v>
      </c>
    </row>
    <row r="23">
      <c r="B23" t="str">
        <v>MANUAL</v>
      </c>
      <c r="C23" t="str">
        <v>ROE</v>
      </c>
      <c r="D23" s="2">
        <f>IFERROR(D5/D6*100,"")</f>
        <v>0</v>
      </c>
      <c r="H23" s="2">
        <f>IFERROR(H5/H6*100,"")</f>
        <v>0</v>
      </c>
      <c r="I23" s="2">
        <f>IFERROR(I5/I6*100,"")</f>
        <v>0</v>
      </c>
      <c r="J23" s="2">
        <f>IFERROR(J5/J6*100,"")</f>
        <v>0</v>
      </c>
      <c r="K23" s="2">
        <f>IFERROR(K5/K6*100,"")</f>
        <v>0</v>
      </c>
      <c r="L23" s="2">
        <f>IFERROR(L5/L6*100,"")</f>
        <v>0</v>
      </c>
      <c r="M23" s="2">
        <f>IFERROR(M5/M6*100,"")</f>
        <v>0</v>
      </c>
      <c r="N23" s="2">
        <f>IFERROR(N5/N6*100,"")</f>
        <v>0</v>
      </c>
      <c r="O23" s="2">
        <f>IFERROR(O5/O6*100,"")</f>
        <v>0</v>
      </c>
      <c r="P23" s="2">
        <f>IFERROR(P5/P6*100,"")</f>
        <v>0</v>
      </c>
      <c r="Q23" s="2">
        <f>IFERROR(Q5/Q6*100,"")</f>
        <v>0</v>
      </c>
      <c r="R23" s="2">
        <f>IFERROR(R5/R6*100,"")</f>
        <v>0</v>
      </c>
      <c r="S23" s="2">
        <f>IFERROR(S5/S6*100,"")</f>
        <v>0</v>
      </c>
      <c r="T23" s="2">
        <f>IFERROR(T5/T6*100,"")</f>
        <v>0</v>
      </c>
      <c r="U23" s="2">
        <f>IFERROR(U5/U6*100,"")</f>
        <v>0</v>
      </c>
      <c r="V23" s="2">
        <f>IFERROR(V5/V6*100,"")</f>
        <v>0</v>
      </c>
      <c r="W23" s="2">
        <f>IFERROR(W5/W6*100,"")</f>
        <v>0</v>
      </c>
      <c r="X23" s="2">
        <f>IFERROR(X5/X6*100,"")</f>
        <v>0</v>
      </c>
      <c r="Y23" s="2">
        <f>IFERROR(Y5/Y6*100,"")</f>
        <v>0</v>
      </c>
      <c r="Z23" s="2">
        <f>IFERROR(Z5/Z6*100,"")</f>
        <v>0</v>
      </c>
    </row>
    <row r="24">
      <c r="C24" t="str">
        <v>ROE 5 Tahun</v>
      </c>
      <c r="D24" s="2">
        <f>IFERROR(RRI(5,I23,D23),"")</f>
        <v>0</v>
      </c>
      <c r="H24" s="2">
        <f>IFERROR(RRI(5,M23,H23),"")</f>
        <v>0</v>
      </c>
      <c r="I24" s="2">
        <f>IFERROR(RRI(5,N23,I23),"")</f>
        <v>0</v>
      </c>
      <c r="J24" s="2">
        <f>IFERROR(RRI(5,O23,J23),"")</f>
        <v>0</v>
      </c>
      <c r="K24" s="2">
        <f>IFERROR(RRI(5,P23,K23),"")</f>
        <v>0</v>
      </c>
      <c r="L24" s="2">
        <f>IFERROR(RRI(5,Q23,L23),"")</f>
        <v>0</v>
      </c>
      <c r="M24" s="2">
        <f>IFERROR(RRI(5,R23,M23),"")</f>
        <v>0</v>
      </c>
      <c r="N24" s="2">
        <f>IFERROR(RRI(5,S23,N23),"")</f>
        <v>0</v>
      </c>
      <c r="O24" s="2">
        <f>IFERROR(RRI(5,T23,O23),"")</f>
        <v>0</v>
      </c>
      <c r="P24" s="2">
        <f>IFERROR(RRI(5,U23,P23),"")</f>
        <v>0</v>
      </c>
      <c r="Q24" s="2">
        <f>IFERROR(RRI(5,V23,Q23),"")</f>
        <v>0</v>
      </c>
      <c r="R24" s="2">
        <f>IFERROR(RRI(5,W23,R23),"")</f>
        <v>0</v>
      </c>
      <c r="S24" s="2">
        <f>IFERROR(RRI(5,X23,S23),"")</f>
        <v>0</v>
      </c>
      <c r="T24" s="2">
        <f>IFERROR(RRI(5,Y23,T23),"")</f>
        <v>0</v>
      </c>
      <c r="U24" s="2">
        <f>IFERROR(RRI(5,Z23,U23),"")</f>
        <v>0</v>
      </c>
      <c r="V24" s="2">
        <f>IFERROR(RRI(5,AA23,V23),"")</f>
        <v>0</v>
      </c>
      <c r="W24" s="2">
        <f>IFERROR(RRI(5,AB23,W23),"")</f>
        <v>0</v>
      </c>
      <c r="X24" s="2">
        <f>IFERROR(RRI(5,AC23,X23),"")</f>
        <v>0</v>
      </c>
      <c r="Y24" s="2">
        <f>IFERROR(RRI(5,AD23,Y23),"")</f>
        <v>0</v>
      </c>
      <c r="Z24" s="2">
        <f>IFERROR(RRI(5,AE23,Z23),"")</f>
        <v>0</v>
      </c>
    </row>
    <row r="25">
      <c r="A25" t="str">
        <v>EPS</v>
      </c>
      <c r="C25" t="str">
        <v>EPS (Annual)</v>
      </c>
      <c r="D25" s="2">
        <f>IFERROR(INDEX(C51:C500,MATCH($A$25,$B$51:$B$500,0)),"")</f>
        <v>0</v>
      </c>
      <c r="H25" s="2">
        <f>IFERROR(INDEX(H51:H500,MATCH($C$25,$B$51:$B$500,0)),"")</f>
        <v>0</v>
      </c>
      <c r="I25" s="2">
        <f>IFERROR(INDEX(I51:I500,MATCH($C$25,$B$51:$B$500,0)),"")</f>
        <v>0</v>
      </c>
      <c r="J25" s="2">
        <f>IFERROR(INDEX(J51:J500,MATCH($C$25,$B$51:$B$500,0)),"")</f>
        <v>0</v>
      </c>
      <c r="K25" s="2">
        <f>IFERROR(INDEX(K51:K500,MATCH($C$25,$B$51:$B$500,0)),"")</f>
        <v>0</v>
      </c>
      <c r="L25" s="2">
        <f>IFERROR(INDEX(L51:L500,MATCH($C$25,$B$51:$B$500,0)),"")</f>
        <v>0</v>
      </c>
      <c r="M25" s="2">
        <f>IFERROR(INDEX(M51:M500,MATCH($C$25,$B$51:$B$500,0)),"")</f>
        <v>0</v>
      </c>
      <c r="N25" s="2">
        <f>IFERROR(INDEX(N51:N500,MATCH($C$25,$B$51:$B$500,0)),"")</f>
        <v>0</v>
      </c>
      <c r="O25" s="2">
        <f>IFERROR(INDEX(O51:O500,MATCH($C$25,$B$51:$B$500,0)),"")</f>
        <v>0</v>
      </c>
      <c r="P25" s="2">
        <f>IFERROR(INDEX(P51:P500,MATCH($C$25,$B$51:$B$500,0)),"")</f>
        <v>0</v>
      </c>
      <c r="Q25" s="2">
        <f>IFERROR(INDEX(Q51:Q500,MATCH($C$25,$B$51:$B$500,0)),"")</f>
        <v>0</v>
      </c>
      <c r="R25" s="2">
        <f>IFERROR(INDEX(R51:R500,MATCH($C$25,$B$51:$B$500,0)),"")</f>
        <v>0</v>
      </c>
      <c r="S25" s="2">
        <f>IFERROR(INDEX(S51:S500,MATCH($C$25,$B$51:$B$500,0)),"")</f>
        <v>0</v>
      </c>
      <c r="T25" s="2">
        <f>IFERROR(INDEX(T51:T500,MATCH($C$25,$B$51:$B$500,0)),"")</f>
        <v>0</v>
      </c>
      <c r="U25" s="2">
        <f>IFERROR(INDEX(U51:U500,MATCH($C$25,$B$51:$B$500,0)),"")</f>
        <v>0</v>
      </c>
      <c r="V25" s="2">
        <f>IFERROR(INDEX(V51:V500,MATCH($C$25,$B$51:$B$500,0)),"")</f>
        <v>0</v>
      </c>
      <c r="W25" s="2">
        <f>IFERROR(INDEX(W51:W500,MATCH($C$25,$B$51:$B$500,0)),"")</f>
        <v>0</v>
      </c>
      <c r="X25" s="2">
        <f>IFERROR(INDEX(X51:X500,MATCH($C$25,$B$51:$B$500,0)),"")</f>
        <v>0</v>
      </c>
      <c r="Y25" s="2">
        <f>IFERROR(INDEX(Y51:Y500,MATCH($C$25,$B$51:$B$500,0)),"")</f>
        <v>0</v>
      </c>
      <c r="Z25" s="2">
        <f>IFERROR(INDEX(Z51:Z500,MATCH($C$25,$B$51:$B$500,0)),"")</f>
        <v>0</v>
      </c>
    </row>
    <row r="26">
      <c r="C26" t="str">
        <v>EPS Growth 5 Tahun</v>
      </c>
      <c r="D26" s="2">
        <f>IFERROR(RRI(5,I25,D25),"")</f>
        <v>0</v>
      </c>
      <c r="H26" s="2">
        <f>IFERROR(RRI(5,M25,H25),"")</f>
        <v>0</v>
      </c>
      <c r="I26" s="2">
        <f>IFERROR(RRI(5,N25,I25),"")</f>
        <v>0</v>
      </c>
      <c r="J26" s="2">
        <f>IFERROR(RRI(5,O25,J25),"")</f>
        <v>0</v>
      </c>
      <c r="K26" s="2">
        <f>IFERROR(RRI(5,P25,K25),"")</f>
        <v>0</v>
      </c>
      <c r="L26" s="2">
        <f>IFERROR(RRI(5,Q25,L25),"")</f>
        <v>0</v>
      </c>
      <c r="M26" s="2">
        <f>IFERROR(RRI(5,R25,M25),"")</f>
        <v>0</v>
      </c>
      <c r="N26" s="2">
        <f>IFERROR(RRI(5,S25,N25),"")</f>
        <v>0</v>
      </c>
      <c r="O26" s="2">
        <f>IFERROR(RRI(5,T25,O25),"")</f>
        <v>0</v>
      </c>
      <c r="P26" s="2">
        <f>IFERROR(RRI(5,U25,P25),"")</f>
        <v>0</v>
      </c>
      <c r="Q26" s="2">
        <f>IFERROR(RRI(5,V25,Q25),"")</f>
        <v>0</v>
      </c>
      <c r="R26" s="2">
        <f>IFERROR(RRI(5,W25,R25),"")</f>
        <v>0</v>
      </c>
      <c r="S26" s="2">
        <f>IFERROR(RRI(5,X25,S25),"")</f>
        <v>0</v>
      </c>
      <c r="T26" s="2">
        <f>IFERROR(RRI(5,Y25,T25),"")</f>
        <v>0</v>
      </c>
      <c r="U26" s="2">
        <f>IFERROR(RRI(5,Z25,U25),"")</f>
        <v>0</v>
      </c>
      <c r="V26" s="2">
        <f>IFERROR(RRI(5,AA25,V25),"")</f>
        <v>0</v>
      </c>
      <c r="W26" s="2">
        <f>IFERROR(RRI(5,AB25,W25),"")</f>
        <v>0</v>
      </c>
      <c r="X26" s="2">
        <f>IFERROR(RRI(5,AC25,X25),"")</f>
        <v>0</v>
      </c>
      <c r="Y26" s="2">
        <f>IFERROR(RRI(5,AD25,Y25),"")</f>
        <v>0</v>
      </c>
      <c r="Z26" s="2">
        <f>IFERROR(RRI(5,AE25,Z25),"")</f>
        <v>0</v>
      </c>
    </row>
    <row r="27">
      <c r="C27" t="str">
        <v>SPS</v>
      </c>
      <c r="D27" s="2">
        <f>IFERROR(D4/D21,"")</f>
        <v>0</v>
      </c>
      <c r="H27" s="2">
        <f>IFERROR(H4/H21,"")</f>
        <v>0</v>
      </c>
      <c r="I27" s="2">
        <f>IFERROR(I4/I21,"")</f>
        <v>0</v>
      </c>
      <c r="J27" s="2">
        <f>IFERROR(J4/J21,"")</f>
        <v>0</v>
      </c>
      <c r="K27" s="2">
        <f>IFERROR(K4/K21,"")</f>
        <v>0</v>
      </c>
      <c r="L27" s="2">
        <f>IFERROR(L4/L21,"")</f>
        <v>0</v>
      </c>
      <c r="M27" s="2">
        <f>IFERROR(M4/M21,"")</f>
        <v>0</v>
      </c>
      <c r="N27" s="2">
        <f>IFERROR(N4/N21,"")</f>
        <v>0</v>
      </c>
      <c r="O27" s="2">
        <f>IFERROR(O4/O21,"")</f>
        <v>0</v>
      </c>
      <c r="P27" s="2">
        <f>IFERROR(P4/P21,"")</f>
        <v>0</v>
      </c>
      <c r="Q27" s="2">
        <f>IFERROR(Q4/Q21,"")</f>
        <v>0</v>
      </c>
      <c r="R27" s="2">
        <f>IFERROR(R4/R21,"")</f>
        <v>0</v>
      </c>
      <c r="S27" s="2">
        <f>IFERROR(S4/S21,"")</f>
        <v>0</v>
      </c>
      <c r="T27" s="2">
        <f>IFERROR(T4/T21,"")</f>
        <v>0</v>
      </c>
      <c r="U27" s="2">
        <f>IFERROR(U4/U21,"")</f>
        <v>0</v>
      </c>
      <c r="V27" s="2">
        <f>IFERROR(V4/V21,"")</f>
        <v>0</v>
      </c>
      <c r="W27" s="2">
        <f>IFERROR(W4/W21,"")</f>
        <v>0</v>
      </c>
      <c r="X27" s="2">
        <f>IFERROR(X4/X21,"")</f>
        <v>0</v>
      </c>
      <c r="Y27" s="2">
        <f>IFERROR(Y4/Y21,"")</f>
        <v>0</v>
      </c>
      <c r="Z27" s="2">
        <f>IFERROR(Z4/Z21,"")</f>
        <v>0</v>
      </c>
    </row>
    <row r="28">
      <c r="C28" t="str">
        <v>SPS Growth 5 Tahun</v>
      </c>
      <c r="D28" s="2">
        <f>IFERROR(RRI(5,I27,D27),"")</f>
        <v>0</v>
      </c>
      <c r="H28" s="2">
        <f>IFERROR(RRI(5,M27,H27),"")</f>
        <v>0</v>
      </c>
      <c r="I28" s="2">
        <f>IFERROR(RRI(5,N27,I27),"")</f>
        <v>0</v>
      </c>
      <c r="J28" s="2">
        <f>IFERROR(RRI(5,O27,J27),"")</f>
        <v>0</v>
      </c>
      <c r="K28" s="2">
        <f>IFERROR(RRI(5,P27,K27),"")</f>
        <v>0</v>
      </c>
      <c r="L28" s="2">
        <f>IFERROR(RRI(5,Q27,L27),"")</f>
        <v>0</v>
      </c>
      <c r="M28" s="2">
        <f>IFERROR(RRI(5,R27,M27),"")</f>
        <v>0</v>
      </c>
      <c r="N28" s="2">
        <f>IFERROR(RRI(5,S27,N27),"")</f>
        <v>0</v>
      </c>
      <c r="O28" s="2">
        <f>IFERROR(RRI(5,T27,O27),"")</f>
        <v>0</v>
      </c>
      <c r="P28" s="2">
        <f>IFERROR(RRI(5,U27,P27),"")</f>
        <v>0</v>
      </c>
      <c r="Q28" s="2">
        <f>IFERROR(RRI(5,V27,Q27),"")</f>
        <v>0</v>
      </c>
      <c r="R28" s="2">
        <f>IFERROR(RRI(5,W27,R27),"")</f>
        <v>0</v>
      </c>
      <c r="S28" s="2">
        <f>IFERROR(RRI(5,X27,S27),"")</f>
        <v>0</v>
      </c>
      <c r="T28" s="2">
        <f>IFERROR(RRI(5,Y27,T27),"")</f>
        <v>0</v>
      </c>
      <c r="U28" s="2">
        <f>IFERROR(RRI(5,Z27,U27),"")</f>
        <v>0</v>
      </c>
      <c r="V28" s="2">
        <f>IFERROR(RRI(5,AA27,V27),"")</f>
        <v>0</v>
      </c>
      <c r="W28" s="2">
        <f>IFERROR(RRI(5,AB27,W27),"")</f>
        <v>0</v>
      </c>
      <c r="X28" s="2">
        <f>IFERROR(RRI(5,AC27,X27),"")</f>
        <v>0</v>
      </c>
      <c r="Y28" s="2">
        <f>IFERROR(RRI(5,AD27,Y27),"")</f>
        <v>0</v>
      </c>
      <c r="Z28" s="2">
        <f>IFERROR(RRI(5,AE27,Z27),"")</f>
        <v>0</v>
      </c>
    </row>
    <row r="32">
      <c r="A32" t="str">
        <v>Book Value Per Share (quarter)</v>
      </c>
      <c r="B32" t="str">
        <v>Book Value</v>
      </c>
      <c r="C32" t="str">
        <v>Book Value Per Share (Annual)</v>
      </c>
      <c r="D32" s="2">
        <f>IFERROR(INDEX(C51:C500,MATCH($A$32,$B$51:$B$500,0)),"")</f>
        <v>0</v>
      </c>
      <c r="H32" s="2">
        <f>IFERROR(INDEX(H51:H500,MATCH($C$32,$B$51:$B$500,0)),"")</f>
        <v>0</v>
      </c>
      <c r="I32" s="2">
        <f>IFERROR(INDEX(I51:I500,MATCH($C$32,$B$51:$B$500,0)),"")</f>
        <v>0</v>
      </c>
      <c r="J32" s="2">
        <f>IFERROR(INDEX(J51:J500,MATCH($C$32,$B$51:$B$500,0)),"")</f>
        <v>0</v>
      </c>
      <c r="K32" s="2">
        <f>IFERROR(INDEX(K51:K500,MATCH($C$32,$B$51:$B$500,0)),"")</f>
        <v>0</v>
      </c>
      <c r="L32" s="2">
        <f>IFERROR(INDEX(L51:L500,MATCH($C$32,$B$51:$B$500,0)),"")</f>
        <v>0</v>
      </c>
      <c r="M32" s="2">
        <f>IFERROR(INDEX(M51:M500,MATCH($C$32,$B$51:$B$500,0)),"")</f>
        <v>0</v>
      </c>
      <c r="N32" s="2">
        <f>IFERROR(INDEX(N51:N500,MATCH($C$32,$B$51:$B$500,0)),"")</f>
        <v>0</v>
      </c>
      <c r="O32" s="2">
        <f>IFERROR(INDEX(O51:O500,MATCH($C$32,$B$51:$B$500,0)),"")</f>
        <v>0</v>
      </c>
      <c r="P32" s="2">
        <f>IFERROR(INDEX(P51:P500,MATCH($C$32,$B$51:$B$500,0)),"")</f>
        <v>0</v>
      </c>
      <c r="Q32" s="2">
        <f>IFERROR(INDEX(Q51:Q500,MATCH($C$32,$B$51:$B$500,0)),"")</f>
        <v>0</v>
      </c>
      <c r="R32" s="2">
        <f>IFERROR(INDEX(R51:R500,MATCH($C$32,$B$51:$B$500,0)),"")</f>
        <v>0</v>
      </c>
      <c r="S32" s="2">
        <f>IFERROR(INDEX(S51:S500,MATCH($C$32,$B$51:$B$500,0)),"")</f>
        <v>0</v>
      </c>
      <c r="T32" s="2">
        <f>IFERROR(INDEX(T51:T500,MATCH($C$32,$B$51:$B$500,0)),"")</f>
        <v>0</v>
      </c>
      <c r="U32" s="2">
        <f>IFERROR(INDEX(U51:U500,MATCH($C$32,$B$51:$B$500,0)),"")</f>
        <v>0</v>
      </c>
      <c r="V32" s="2">
        <f>IFERROR(INDEX(V51:V500,MATCH($C$32,$B$51:$B$500,0)),"")</f>
        <v>0</v>
      </c>
      <c r="W32" s="2">
        <f>IFERROR(INDEX(W51:W500,MATCH($C$32,$B$51:$B$500,0)),"")</f>
        <v>0</v>
      </c>
      <c r="X32" s="2">
        <f>IFERROR(INDEX(X51:X500,MATCH($C$32,$B$51:$B$500,0)),"")</f>
        <v>0</v>
      </c>
      <c r="Y32" s="2">
        <f>IFERROR(INDEX(Y51:Y500,MATCH($C$32,$B$51:$B$500,0)),"")</f>
        <v>0</v>
      </c>
      <c r="Z32" s="2">
        <f>IFERROR(INDEX(Z51:Z500,MATCH($C$32,$B$51:$B$500,0)),"")</f>
        <v>0</v>
      </c>
    </row>
    <row r="33">
      <c r="A33" t="str">
        <v>Price to Book Value (quarter)</v>
      </c>
      <c r="B33" t="str">
        <v>PBV</v>
      </c>
      <c r="C33" t="str">
        <v>Price to Book Value (Annual)</v>
      </c>
      <c r="D33" s="2">
        <f>IFERROR(INDEX(C51:C500,MATCH($A$33,$B$51:$B$500,0)),"")</f>
        <v>0</v>
      </c>
      <c r="H33" s="2">
        <f>IFERROR(INDEX(H51:H500,MATCH($C$33,$B$51:$B$500,0)),"")</f>
        <v>0</v>
      </c>
      <c r="I33" s="2">
        <f>IFERROR(INDEX(I51:I500,MATCH($C$33,$B$51:$B$500,0)),"")</f>
        <v>0</v>
      </c>
      <c r="J33" s="2">
        <f>IFERROR(INDEX(J51:J500,MATCH($C$33,$B$51:$B$500,0)),"")</f>
        <v>0</v>
      </c>
      <c r="K33" s="2">
        <f>IFERROR(INDEX(K51:K500,MATCH($C$33,$B$51:$B$500,0)),"")</f>
        <v>0</v>
      </c>
      <c r="L33" s="2">
        <f>IFERROR(INDEX(L51:L500,MATCH($C$33,$B$51:$B$500,0)),"")</f>
        <v>0</v>
      </c>
      <c r="M33" s="2">
        <f>IFERROR(INDEX(M51:M500,MATCH($C$33,$B$51:$B$500,0)),"")</f>
        <v>0</v>
      </c>
      <c r="N33" s="2">
        <f>IFERROR(INDEX(N51:N500,MATCH($C$33,$B$51:$B$500,0)),"")</f>
        <v>0</v>
      </c>
      <c r="O33" s="2">
        <f>IFERROR(INDEX(O51:O500,MATCH($C$33,$B$51:$B$500,0)),"")</f>
        <v>0</v>
      </c>
      <c r="P33" s="2">
        <f>IFERROR(INDEX(P51:P500,MATCH($C$33,$B$51:$B$500,0)),"")</f>
        <v>0</v>
      </c>
      <c r="Q33" s="2">
        <f>IFERROR(INDEX(Q51:Q500,MATCH($C$33,$B$51:$B$500,0)),"")</f>
        <v>0</v>
      </c>
      <c r="R33" s="2">
        <f>IFERROR(INDEX(R51:R500,MATCH($C$33,$B$51:$B$500,0)),"")</f>
        <v>0</v>
      </c>
      <c r="S33" s="2">
        <f>IFERROR(INDEX(S51:S500,MATCH($C$33,$B$51:$B$500,0)),"")</f>
        <v>0</v>
      </c>
      <c r="T33" s="2">
        <f>IFERROR(INDEX(T51:T500,MATCH($C$33,$B$51:$B$500,0)),"")</f>
        <v>0</v>
      </c>
      <c r="U33" s="2">
        <f>IFERROR(INDEX(U51:U500,MATCH($C$33,$B$51:$B$500,0)),"")</f>
        <v>0</v>
      </c>
      <c r="V33" s="2">
        <f>IFERROR(INDEX(V51:V500,MATCH($C$33,$B$51:$B$500,0)),"")</f>
        <v>0</v>
      </c>
      <c r="W33" s="2">
        <f>IFERROR(INDEX(W51:W500,MATCH($C$33,$B$51:$B$500,0)),"")</f>
        <v>0</v>
      </c>
      <c r="X33" s="2">
        <f>IFERROR(INDEX(X51:X500,MATCH($C$33,$B$51:$B$500,0)),"")</f>
        <v>0</v>
      </c>
      <c r="Y33" s="2">
        <f>IFERROR(INDEX(Y51:Y500,MATCH($C$33,$B$51:$B$500,0)),"")</f>
        <v>0</v>
      </c>
      <c r="Z33" s="2">
        <f>IFERROR(INDEX(Z51:Z500,MATCH($C$33,$B$51:$B$500,0)),"")</f>
        <v>0</v>
      </c>
    </row>
    <row r="34">
      <c r="A34" t="str">
        <v>PE Ratio (quarter)</v>
      </c>
      <c r="B34" t="str">
        <v>PER</v>
      </c>
      <c r="C34" t="str">
        <v>PE Ratio (Annual)</v>
      </c>
      <c r="D34" s="2">
        <f>IFERROR(INDEX(C51:C500,MATCH($A$34,$B$51:$B$500,0)),"")</f>
        <v>0</v>
      </c>
      <c r="H34" s="2">
        <f>IFERROR(INDEX(H51:H500,MATCH($C$34,$B$51:$B$500,0)),"")</f>
        <v>0</v>
      </c>
      <c r="I34" s="2">
        <f>IFERROR(INDEX(I51:I500,MATCH($C$34,$B$51:$B$500,0)),"")</f>
        <v>0</v>
      </c>
      <c r="J34" s="2">
        <f>IFERROR(INDEX(J51:J500,MATCH($C$34,$B$51:$B$500,0)),"")</f>
        <v>0</v>
      </c>
      <c r="K34" s="2">
        <f>IFERROR(INDEX(K51:K500,MATCH($C$34,$B$51:$B$500,0)),"")</f>
        <v>0</v>
      </c>
      <c r="L34" s="2">
        <f>IFERROR(INDEX(L51:L500,MATCH($C$34,$B$51:$B$500,0)),"")</f>
        <v>0</v>
      </c>
      <c r="M34" s="2">
        <f>IFERROR(INDEX(M51:M500,MATCH($C$34,$B$51:$B$500,0)),"")</f>
        <v>0</v>
      </c>
      <c r="N34" s="2">
        <f>IFERROR(INDEX(N51:N500,MATCH($C$34,$B$51:$B$500,0)),"")</f>
        <v>0</v>
      </c>
      <c r="O34" s="2">
        <f>IFERROR(INDEX(O51:O500,MATCH($C$34,$B$51:$B$500,0)),"")</f>
        <v>0</v>
      </c>
      <c r="P34" s="2">
        <f>IFERROR(INDEX(P51:P500,MATCH($C$34,$B$51:$B$500,0)),"")</f>
        <v>0</v>
      </c>
      <c r="Q34" s="2">
        <f>IFERROR(INDEX(Q51:Q500,MATCH($C$34,$B$51:$B$500,0)),"")</f>
        <v>0</v>
      </c>
      <c r="R34" s="2">
        <f>IFERROR(INDEX(R51:R500,MATCH($C$34,$B$51:$B$500,0)),"")</f>
        <v>0</v>
      </c>
      <c r="S34" s="2">
        <f>IFERROR(INDEX(S51:S500,MATCH($C$34,$B$51:$B$500,0)),"")</f>
        <v>0</v>
      </c>
      <c r="T34" s="2">
        <f>IFERROR(INDEX(T51:T500,MATCH($C$34,$B$51:$B$500,0)),"")</f>
        <v>0</v>
      </c>
      <c r="U34" s="2">
        <f>IFERROR(INDEX(U51:U500,MATCH($C$34,$B$51:$B$500,0)),"")</f>
        <v>0</v>
      </c>
      <c r="V34" s="2">
        <f>IFERROR(INDEX(V51:V500,MATCH($C$34,$B$51:$B$500,0)),"")</f>
        <v>0</v>
      </c>
      <c r="W34" s="2">
        <f>IFERROR(INDEX(W51:W500,MATCH($C$34,$B$51:$B$500,0)),"")</f>
        <v>0</v>
      </c>
      <c r="X34" s="2">
        <f>IFERROR(INDEX(X51:X500,MATCH($C$34,$B$51:$B$500,0)),"")</f>
        <v>0</v>
      </c>
      <c r="Y34" s="2">
        <f>IFERROR(INDEX(Y51:Y500,MATCH($C$34,$B$51:$B$500,0)),"")</f>
        <v>0</v>
      </c>
      <c r="Z34" s="2">
        <f>IFERROR(INDEX(Z51:Z500,MATCH($C$34,$B$51:$B$500,0)),"")</f>
        <v>0</v>
      </c>
    </row>
    <row r="35">
      <c r="A35" t="str">
        <v>Price to Sales (Quarter)</v>
      </c>
      <c r="B35" t="str">
        <v>PSR</v>
      </c>
      <c r="C35" t="str">
        <v>Price to Sales (Annual)</v>
      </c>
      <c r="D35" s="2">
        <f>IFERROR(INDEX(C51:C500,MATCH($A$35,$B$51:$B$500,0)),"")</f>
        <v>0</v>
      </c>
      <c r="H35" s="2">
        <f>IFERROR(INDEX(H51:H500,MATCH($C$35,$B$51:$B$500,0)),"")</f>
        <v>0</v>
      </c>
      <c r="I35" s="2">
        <f>IFERROR(INDEX(I51:I500,MATCH($C$35,$B$51:$B$500,0)),"")</f>
        <v>0</v>
      </c>
      <c r="J35" s="2">
        <f>IFERROR(INDEX(J51:J500,MATCH($C$35,$B$51:$B$500,0)),"")</f>
        <v>0</v>
      </c>
      <c r="K35" s="2">
        <f>IFERROR(INDEX(K51:K500,MATCH($C$35,$B$51:$B$500,0)),"")</f>
        <v>0</v>
      </c>
      <c r="L35" s="2">
        <f>IFERROR(INDEX(L51:L500,MATCH($C$35,$B$51:$B$500,0)),"")</f>
        <v>0</v>
      </c>
      <c r="M35" s="2">
        <f>IFERROR(INDEX(M51:M500,MATCH($C$35,$B$51:$B$500,0)),"")</f>
        <v>0</v>
      </c>
      <c r="N35" s="2">
        <f>IFERROR(INDEX(N51:N500,MATCH($C$35,$B$51:$B$500,0)),"")</f>
        <v>0</v>
      </c>
      <c r="O35" s="2">
        <f>IFERROR(INDEX(O51:O500,MATCH($C$35,$B$51:$B$500,0)),"")</f>
        <v>0</v>
      </c>
      <c r="P35" s="2">
        <f>IFERROR(INDEX(P51:P500,MATCH($C$35,$B$51:$B$500,0)),"")</f>
        <v>0</v>
      </c>
      <c r="Q35" s="2">
        <f>IFERROR(INDEX(Q51:Q500,MATCH($C$35,$B$51:$B$500,0)),"")</f>
        <v>0</v>
      </c>
      <c r="R35" s="2">
        <f>IFERROR(INDEX(R51:R500,MATCH($C$35,$B$51:$B$500,0)),"")</f>
        <v>0</v>
      </c>
      <c r="S35" s="2">
        <f>IFERROR(INDEX(S51:S500,MATCH($C$35,$B$51:$B$500,0)),"")</f>
        <v>0</v>
      </c>
      <c r="T35" s="2">
        <f>IFERROR(INDEX(T51:T500,MATCH($C$35,$B$51:$B$500,0)),"")</f>
        <v>0</v>
      </c>
      <c r="U35" s="2">
        <f>IFERROR(INDEX(U51:U500,MATCH($C$35,$B$51:$B$500,0)),"")</f>
        <v>0</v>
      </c>
      <c r="V35" s="2">
        <f>IFERROR(INDEX(V51:V500,MATCH($C$35,$B$51:$B$500,0)),"")</f>
        <v>0</v>
      </c>
      <c r="W35" s="2">
        <f>IFERROR(INDEX(W51:W500,MATCH($C$35,$B$51:$B$500,0)),"")</f>
        <v>0</v>
      </c>
      <c r="X35" s="2">
        <f>IFERROR(INDEX(X51:X500,MATCH($C$35,$B$51:$B$500,0)),"")</f>
        <v>0</v>
      </c>
      <c r="Y35" s="2">
        <f>IFERROR(INDEX(Y51:Y500,MATCH($C$35,$B$51:$B$500,0)),"")</f>
        <v>0</v>
      </c>
      <c r="Z35" s="2">
        <f>IFERROR(INDEX(Z51:Z500,MATCH($C$35,$B$51:$B$500,0)),"")</f>
        <v>0</v>
      </c>
    </row>
    <row r="36">
      <c r="B36" t="str">
        <v>DPR</v>
      </c>
      <c r="C36" t="str">
        <v>Net Income - Payout Ratio</v>
      </c>
      <c r="D36" s="2">
        <f>IFERROR(INDEX(D51:D500,MATCH($C$36,$B$51:$B$500,0)),"")</f>
        <v>0</v>
      </c>
      <c r="H36" s="2">
        <f>IFERROR(INDEX(H51:H500,MATCH($C$36,$B$51:$B$500,0)),"")</f>
        <v>0</v>
      </c>
      <c r="I36" s="2">
        <f>IFERROR(INDEX(I51:I500,MATCH($C$36,$B$51:$B$500,0)),"")</f>
        <v>0</v>
      </c>
      <c r="J36" s="2">
        <f>IFERROR(INDEX(J51:J500,MATCH($C$36,$B$51:$B$500,0)),"")</f>
        <v>0</v>
      </c>
      <c r="K36" s="2">
        <f>IFERROR(INDEX(K51:K500,MATCH($C$36,$B$51:$B$500,0)),"")</f>
        <v>0</v>
      </c>
      <c r="L36" s="2">
        <f>IFERROR(INDEX(L51:L500,MATCH($C$36,$B$51:$B$500,0)),"")</f>
        <v>0</v>
      </c>
      <c r="M36" s="2">
        <f>IFERROR(INDEX(M51:M500,MATCH($C$36,$B$51:$B$500,0)),"")</f>
        <v>0</v>
      </c>
      <c r="N36" s="2">
        <f>IFERROR(INDEX(N51:N500,MATCH($C$36,$B$51:$B$500,0)),"")</f>
        <v>0</v>
      </c>
      <c r="O36" s="2">
        <f>IFERROR(INDEX(O51:O500,MATCH($C$36,$B$51:$B$500,0)),"")</f>
        <v>0</v>
      </c>
      <c r="P36" s="2">
        <f>IFERROR(INDEX(P51:P500,MATCH($C$36,$B$51:$B$500,0)),"")</f>
        <v>0</v>
      </c>
      <c r="Q36" s="2">
        <f>IFERROR(INDEX(Q51:Q500,MATCH($C$36,$B$51:$B$500,0)),"")</f>
        <v>0</v>
      </c>
      <c r="R36" s="2">
        <f>IFERROR(INDEX(R51:R500,MATCH($C$36,$B$51:$B$500,0)),"")</f>
        <v>0</v>
      </c>
      <c r="S36" s="2">
        <f>IFERROR(INDEX(S51:S500,MATCH($C$36,$B$51:$B$500,0)),"")</f>
        <v>0</v>
      </c>
      <c r="T36" s="2">
        <f>IFERROR(INDEX(T51:T500,MATCH($C$36,$B$51:$B$500,0)),"")</f>
        <v>0</v>
      </c>
      <c r="U36" s="2">
        <f>IFERROR(INDEX(U51:U500,MATCH($C$36,$B$51:$B$500,0)),"")</f>
        <v>0</v>
      </c>
      <c r="V36" s="2">
        <f>IFERROR(INDEX(V51:V500,MATCH($C$36,$B$51:$B$500,0)),"")</f>
        <v>0</v>
      </c>
      <c r="W36" s="2">
        <f>IFERROR(INDEX(W51:W500,MATCH($C$36,$B$51:$B$500,0)),"")</f>
        <v>0</v>
      </c>
      <c r="X36" s="2">
        <f>IFERROR(INDEX(X51:X500,MATCH($C$36,$B$51:$B$500,0)),"")</f>
        <v>0</v>
      </c>
      <c r="Y36" s="2">
        <f>IFERROR(INDEX(Y51:Y500,MATCH($C$36,$B$51:$B$500,0)),"")</f>
        <v>0</v>
      </c>
      <c r="Z36" s="2">
        <f>IFERROR(INDEX(Z51:Z500,MATCH($C$36,$B$51:$B$500,0)),"")</f>
        <v>0</v>
      </c>
    </row>
    <row r="37">
      <c r="B37" t="str">
        <v>DPS</v>
      </c>
      <c r="C37" t="str">
        <v>EPS - Div (TTM)</v>
      </c>
      <c r="D37" s="2">
        <f>IFERROR(INDEX(D51:D500,MATCH($C$37,$B$51:$B$500,0)),"")</f>
        <v>0</v>
      </c>
      <c r="H37" s="2">
        <f>IFERROR(INDEX(H51:H500,MATCH($C$37,$B$51:$B$500,0)),"")</f>
        <v>0</v>
      </c>
      <c r="I37" s="2">
        <f>IFERROR(INDEX(I51:I500,MATCH($C$37,$B$51:$B$500,0)),"")</f>
        <v>0</v>
      </c>
      <c r="J37" s="2">
        <f>IFERROR(INDEX(J51:J500,MATCH($C$37,$B$51:$B$500,0)),"")</f>
        <v>0</v>
      </c>
      <c r="K37" s="2">
        <f>IFERROR(INDEX(K51:K500,MATCH($C$37,$B$51:$B$500,0)),"")</f>
        <v>0</v>
      </c>
      <c r="L37" s="2">
        <f>IFERROR(INDEX(L51:L500,MATCH($C$37,$B$51:$B$500,0)),"")</f>
        <v>0</v>
      </c>
      <c r="M37" s="2">
        <f>IFERROR(INDEX(M51:M500,MATCH($C$37,$B$51:$B$500,0)),"")</f>
        <v>0</v>
      </c>
      <c r="N37" s="2">
        <f>IFERROR(INDEX(N51:N500,MATCH($C$37,$B$51:$B$500,0)),"")</f>
        <v>0</v>
      </c>
      <c r="O37" s="2">
        <f>IFERROR(INDEX(O51:O500,MATCH($C$37,$B$51:$B$500,0)),"")</f>
        <v>0</v>
      </c>
      <c r="P37" s="2">
        <f>IFERROR(INDEX(P51:P500,MATCH($C$37,$B$51:$B$500,0)),"")</f>
        <v>0</v>
      </c>
      <c r="Q37" s="2">
        <f>IFERROR(INDEX(Q51:Q500,MATCH($C$37,$B$51:$B$500,0)),"")</f>
        <v>0</v>
      </c>
      <c r="R37" s="2">
        <f>IFERROR(INDEX(R51:R500,MATCH($C$37,$B$51:$B$500,0)),"")</f>
        <v>0</v>
      </c>
      <c r="S37" s="2">
        <f>IFERROR(INDEX(S51:S500,MATCH($C$37,$B$51:$B$500,0)),"")</f>
        <v>0</v>
      </c>
      <c r="T37" s="2">
        <f>IFERROR(INDEX(T51:T500,MATCH($C$37,$B$51:$B$500,0)),"")</f>
        <v>0</v>
      </c>
      <c r="U37" s="2">
        <f>IFERROR(INDEX(U51:U500,MATCH($C$37,$B$51:$B$500,0)),"")</f>
        <v>0</v>
      </c>
      <c r="V37" s="2">
        <f>IFERROR(INDEX(V51:V500,MATCH($C$37,$B$51:$B$500,0)),"")</f>
        <v>0</v>
      </c>
      <c r="W37" s="2">
        <f>IFERROR(INDEX(W51:W500,MATCH($C$37,$B$51:$B$500,0)),"")</f>
        <v>0</v>
      </c>
      <c r="X37" s="2">
        <f>IFERROR(INDEX(X51:X500,MATCH($C$37,$B$51:$B$500,0)),"")</f>
        <v>0</v>
      </c>
      <c r="Y37" s="2">
        <f>IFERROR(INDEX(Y51:Y500,MATCH($C$37,$B$51:$B$500,0)),"")</f>
        <v>0</v>
      </c>
      <c r="Z37" s="2">
        <f>IFERROR(INDEX(Z51:Z500,MATCH($C$37,$B$51:$B$500,0)),"")</f>
        <v>0</v>
      </c>
    </row>
    <row r="51">
      <c r="C51" t="str">
        <v>Q1 2026</v>
      </c>
      <c r="D51" t="str">
        <v>Q4 2025</v>
      </c>
      <c r="E51" t="str">
        <v>Q3 2025</v>
      </c>
      <c r="F51" t="str">
        <v>Q2 2025</v>
      </c>
      <c r="G51" t="str">
        <v>2026</v>
      </c>
      <c r="H51" t="str">
        <v>12M 2025</v>
      </c>
      <c r="I51" t="str">
        <v>12M 2024</v>
      </c>
      <c r="J51" t="str">
        <v>12M 2023</v>
      </c>
      <c r="K51" t="str">
        <v>12M 2022</v>
      </c>
      <c r="L51" t="str">
        <v>12M 2021</v>
      </c>
      <c r="M51" t="str">
        <v>12M 2020</v>
      </c>
      <c r="N51" t="str">
        <v>12M 2019</v>
      </c>
      <c r="O51" t="str">
        <v>12M 2018</v>
      </c>
      <c r="P51" t="str">
        <v>12M 2017</v>
      </c>
      <c r="Q51" t="str">
        <v>12M 2016</v>
      </c>
      <c r="R51" t="str">
        <v>12M 2015</v>
      </c>
      <c r="S51" t="str">
        <v>12M 2014</v>
      </c>
      <c r="T51" t="str">
        <v>12M 2013</v>
      </c>
      <c r="U51" t="str">
        <v>12M 2012</v>
      </c>
      <c r="V51" t="str">
        <v>12M 2011</v>
      </c>
      <c r="W51" t="str">
        <v>12M 2010</v>
      </c>
      <c r="X51" t="str">
        <v>12M 2009</v>
      </c>
      <c r="Y51" t="str">
        <v>12M 2008</v>
      </c>
    </row>
    <row r="52">
      <c r="A52" t="str">
        <v>Income Statement</v>
      </c>
      <c r="B52" t="str">
        <v>Total Pendapatan</v>
      </c>
      <c r="C52" s="2">
        <v>29653619000000</v>
      </c>
      <c r="D52" s="2">
        <v>27144302000000</v>
      </c>
      <c r="E52" s="2">
        <v>30875157000000</v>
      </c>
      <c r="F52" s="2">
        <v>31527769000000</v>
      </c>
      <c r="H52" s="2">
        <v>118572759000000</v>
      </c>
      <c r="I52" s="2">
        <v>112776373000000</v>
      </c>
      <c r="J52" s="2">
        <v>104050490000000</v>
      </c>
      <c r="K52" s="2">
        <v>88824796000000</v>
      </c>
      <c r="L52" s="2">
        <v>80306613000000</v>
      </c>
      <c r="M52" s="2">
        <v>78563007000000</v>
      </c>
      <c r="N52" s="2">
        <v>77446176000000</v>
      </c>
      <c r="O52" s="2">
        <v>68763140000000</v>
      </c>
      <c r="P52" s="2">
        <v>64155939000000</v>
      </c>
      <c r="Q52" s="2">
        <v>59830367000000</v>
      </c>
      <c r="R52" s="2">
        <v>57548714000000</v>
      </c>
      <c r="S52" s="2">
        <v>51893723000000</v>
      </c>
      <c r="T52" s="2">
        <v>41106887000000</v>
      </c>
      <c r="U52" s="2">
        <v>34945120000000</v>
      </c>
      <c r="V52" s="2">
        <v>24566852000000</v>
      </c>
      <c r="W52" s="2">
        <v>20660602000000</v>
      </c>
      <c r="X52" s="2">
        <v>22931153000000</v>
      </c>
      <c r="Y52" s="2">
        <v>19301181000000</v>
      </c>
    </row>
    <row r="53">
      <c r="B53" t="str">
        <v>Pendapatan Bunga</v>
      </c>
      <c r="C53" s="2">
        <v>24592248000000</v>
      </c>
      <c r="D53" s="2">
        <v>24927184000000</v>
      </c>
      <c r="E53" s="2">
        <v>24671504000000</v>
      </c>
      <c r="F53" s="2">
        <v>24947246000000</v>
      </c>
      <c r="H53" s="2">
        <v>98912652000000</v>
      </c>
      <c r="I53" s="2">
        <v>94796454000000</v>
      </c>
      <c r="J53" s="2">
        <v>87397774000000</v>
      </c>
      <c r="K53" s="2">
        <v>72241191000000</v>
      </c>
      <c r="L53" s="2">
        <v>65626976000000</v>
      </c>
      <c r="M53" s="2">
        <v>65403161000000</v>
      </c>
      <c r="N53" s="2">
        <v>63837795000000</v>
      </c>
      <c r="O53" s="2">
        <v>56766800000000</v>
      </c>
      <c r="P53" s="2">
        <v>53767939000000</v>
      </c>
      <c r="Q53" s="2">
        <v>50425826000000</v>
      </c>
      <c r="R53" s="2">
        <v>47081728000000</v>
      </c>
      <c r="S53" s="2">
        <v>43771256000000</v>
      </c>
      <c r="T53" s="2">
        <v>34277149000000</v>
      </c>
      <c r="U53" s="2">
        <v>28885290000000</v>
      </c>
      <c r="V53" s="2">
        <v>24566852000000</v>
      </c>
      <c r="W53" s="2">
        <v>20660602000000</v>
      </c>
      <c r="X53" s="2">
        <v>22079920000000</v>
      </c>
      <c r="Y53" s="2">
        <v>18616168000000</v>
      </c>
    </row>
    <row r="54">
      <c r="B54" t="str">
        <v>Provisi Dan Komisi Kredit</v>
      </c>
      <c r="C54" s="2">
        <v>5061371000000</v>
      </c>
      <c r="D54" s="2">
        <v>5271755000000</v>
      </c>
      <c r="E54" s="2">
        <v>4966308000000</v>
      </c>
      <c r="F54" s="2">
        <v>4763231000000</v>
      </c>
      <c r="H54" s="2">
        <v>19660107000000</v>
      </c>
      <c r="I54" s="2">
        <v>17979919000000</v>
      </c>
      <c r="J54" s="2">
        <v>16652716000000</v>
      </c>
      <c r="K54" s="2">
        <v>16583605000000</v>
      </c>
      <c r="L54" s="2">
        <v>14679637000000</v>
      </c>
      <c r="M54" s="2">
        <v>13159846000000</v>
      </c>
      <c r="N54" s="2">
        <v>13608381000000</v>
      </c>
      <c r="O54" s="2">
        <v>11996340000000</v>
      </c>
      <c r="P54" s="2">
        <v>10388000000000</v>
      </c>
      <c r="Q54" s="2">
        <v>9404541000000</v>
      </c>
      <c r="R54" s="2">
        <v>8359919000000</v>
      </c>
      <c r="S54" s="2">
        <v>7289551000000</v>
      </c>
      <c r="T54" s="2">
        <v>6309874000000</v>
      </c>
      <c r="U54" s="2">
        <v>5455094000000</v>
      </c>
      <c r="X54" s="2">
        <v>851233000000</v>
      </c>
      <c r="Y54" s="2">
        <v>685013000000</v>
      </c>
    </row>
    <row r="55">
      <c r="B55" t="str">
        <v>Others</v>
      </c>
      <c r="C55" s="2">
        <v>-1386183000000</v>
      </c>
      <c r="D55" s="2">
        <v>-418678000000</v>
      </c>
      <c r="E55" s="2">
        <v>759701000000</v>
      </c>
      <c r="F55" s="2">
        <v>638982000000</v>
      </c>
      <c r="H55" s="2">
        <v>1345964000000</v>
      </c>
      <c r="I55" s="2">
        <v>-344954000000</v>
      </c>
      <c r="J55" s="2">
        <v>-1106209000000</v>
      </c>
      <c r="K55" s="2">
        <v>-3322718000000</v>
      </c>
      <c r="L55" s="2">
        <v>426906000000</v>
      </c>
      <c r="M55" s="2">
        <v>3889342000000</v>
      </c>
      <c r="N55" s="2">
        <v>2568287000000</v>
      </c>
      <c r="O55" s="2">
        <v>910375000000</v>
      </c>
      <c r="P55" s="2">
        <v>754591000000</v>
      </c>
      <c r="Q55" s="2">
        <v>6772464000000</v>
      </c>
      <c r="R55" s="2">
        <v>-344263000000</v>
      </c>
      <c r="S55" s="2">
        <v>413501000000</v>
      </c>
      <c r="T55" s="2">
        <v>-1251927000000</v>
      </c>
      <c r="U55" s="2">
        <v>180063000000</v>
      </c>
      <c r="V55" s="2">
        <v>-47589000000</v>
      </c>
    </row>
    <row r="56">
      <c r="B56" t="str">
        <v>Total Beban Pokok Penjualan</v>
      </c>
      <c r="C56" s="2">
        <v>-3483815000000</v>
      </c>
      <c r="D56" s="2">
        <v>-3325378000000</v>
      </c>
      <c r="E56" s="2">
        <v>-3310104000000</v>
      </c>
      <c r="F56" s="2">
        <v>-3480855000000</v>
      </c>
      <c r="H56" s="2">
        <v>-13364495000000</v>
      </c>
      <c r="I56" s="2">
        <v>-12532290000000</v>
      </c>
      <c r="J56" s="2">
        <v>-12268952000000</v>
      </c>
      <c r="K56" s="2">
        <v>-8251682000000</v>
      </c>
      <c r="L56" s="2">
        <v>-9491401000000</v>
      </c>
      <c r="M56" s="2">
        <v>-11241891000000</v>
      </c>
      <c r="N56" s="2">
        <v>-13360347000000</v>
      </c>
      <c r="O56" s="2">
        <v>-11476255000000</v>
      </c>
      <c r="P56" s="2">
        <v>-11943627000000</v>
      </c>
      <c r="Q56" s="2">
        <v>-10350578000000</v>
      </c>
      <c r="R56" s="2">
        <v>-11217072000000</v>
      </c>
      <c r="S56" s="2">
        <v>-11749080000000</v>
      </c>
      <c r="T56" s="2">
        <v>-7852020000000</v>
      </c>
      <c r="U56" s="2">
        <v>-7648937000000</v>
      </c>
      <c r="V56" s="2">
        <v>-7730157000000</v>
      </c>
      <c r="W56" s="2">
        <v>-7723774000000</v>
      </c>
      <c r="X56" s="2">
        <v>-8031428000000</v>
      </c>
      <c r="Y56" s="2">
        <v>-6944833000000</v>
      </c>
    </row>
    <row r="57">
      <c r="B57" t="str">
        <v>Beban Bunga</v>
      </c>
      <c r="C57" s="2">
        <v>-3483815000000</v>
      </c>
      <c r="D57" s="2">
        <v>-3325378000000</v>
      </c>
      <c r="E57" s="2">
        <v>-3310104000000</v>
      </c>
      <c r="F57" s="2">
        <v>-3480855000000</v>
      </c>
      <c r="H57" s="2">
        <v>-13364495000000</v>
      </c>
      <c r="I57" s="2">
        <v>-12532290000000</v>
      </c>
      <c r="J57" s="2">
        <v>-12268952000000</v>
      </c>
      <c r="K57" s="2">
        <v>-8251682000000</v>
      </c>
      <c r="L57" s="2">
        <v>-9491401000000</v>
      </c>
      <c r="M57" s="2">
        <v>-11241891000000</v>
      </c>
      <c r="N57" s="2">
        <v>-13360347000000</v>
      </c>
      <c r="O57" s="2">
        <v>-11476255000000</v>
      </c>
      <c r="P57" s="2">
        <v>-11941465000000</v>
      </c>
      <c r="Q57" s="2">
        <v>-10346736000000</v>
      </c>
      <c r="R57" s="2">
        <v>-11212932000000</v>
      </c>
      <c r="S57" s="2">
        <v>-11744562000000</v>
      </c>
      <c r="T57" s="2">
        <v>-7852009000000</v>
      </c>
      <c r="U57" s="2">
        <v>-7647167000000</v>
      </c>
      <c r="V57" s="2">
        <v>-7730157000000</v>
      </c>
      <c r="W57" s="2">
        <v>-7723774000000</v>
      </c>
      <c r="X57" s="2">
        <v>-8029233000000</v>
      </c>
      <c r="Y57" s="2">
        <v>-6940345000000</v>
      </c>
    </row>
    <row r="58">
      <c r="B58" t="str">
        <v>Beban Provisi Dan Komisi</v>
      </c>
      <c r="P58" s="2">
        <v>-2162000000</v>
      </c>
      <c r="Q58" s="2">
        <v>-3842000000</v>
      </c>
      <c r="R58" s="2">
        <v>-4140000000</v>
      </c>
      <c r="S58" s="2">
        <v>-4518000000</v>
      </c>
      <c r="T58" s="2">
        <v>-11000000</v>
      </c>
      <c r="U58" s="2">
        <v>-1770000000</v>
      </c>
      <c r="X58" s="2">
        <v>-2195000000</v>
      </c>
      <c r="Y58" s="2">
        <v>-4488000000</v>
      </c>
    </row>
    <row r="59">
      <c r="B59" t="str">
        <v>Total Beban Pokok Penjualan...</v>
      </c>
      <c r="C59" s="2">
        <v>-3483815000000</v>
      </c>
      <c r="D59" s="2">
        <v>-3325378000000</v>
      </c>
      <c r="E59" s="2">
        <v>-3310104000000</v>
      </c>
      <c r="F59" s="2">
        <v>-3480855000000</v>
      </c>
      <c r="H59" s="2">
        <v>-13364495000000</v>
      </c>
      <c r="I59" s="2">
        <v>-12532290000000</v>
      </c>
      <c r="J59" s="2">
        <v>-12268952000000</v>
      </c>
      <c r="K59" s="2">
        <v>-8251682000000</v>
      </c>
      <c r="L59" s="2">
        <v>-9491401000000</v>
      </c>
      <c r="M59" s="2">
        <v>-11241891000000</v>
      </c>
      <c r="N59" s="2">
        <v>-13360347000000</v>
      </c>
      <c r="O59" s="2">
        <v>-11476255000000</v>
      </c>
      <c r="P59" s="2">
        <v>-11943627000000</v>
      </c>
      <c r="Q59" s="2">
        <v>-10350578000000</v>
      </c>
      <c r="R59" s="2">
        <v>-11217072000000</v>
      </c>
      <c r="S59" s="2">
        <v>-11749080000000</v>
      </c>
      <c r="T59" s="2">
        <v>-7852020000000</v>
      </c>
      <c r="U59" s="2">
        <v>-7648937000000</v>
      </c>
      <c r="V59" s="2">
        <v>-7730157000000</v>
      </c>
      <c r="W59" s="2">
        <v>-7723774000000</v>
      </c>
      <c r="X59" s="2">
        <v>-8031428000000</v>
      </c>
      <c r="Y59" s="2">
        <v>-6944833000000</v>
      </c>
    </row>
    <row r="60">
      <c r="B60" t="str">
        <v>Laba Kotor</v>
      </c>
      <c r="C60" s="2">
        <v>26169804000000</v>
      </c>
      <c r="D60" s="2">
        <v>23818924000000</v>
      </c>
      <c r="E60" s="2">
        <v>27565053000000</v>
      </c>
      <c r="F60" s="2">
        <v>28046914000000</v>
      </c>
      <c r="H60" s="2">
        <v>105208264000000</v>
      </c>
      <c r="I60" s="2">
        <v>100244083000000</v>
      </c>
      <c r="J60" s="2">
        <v>91781538000000</v>
      </c>
      <c r="K60" s="2">
        <v>80573114000000</v>
      </c>
      <c r="L60" s="2">
        <v>70815212000000</v>
      </c>
      <c r="M60" s="2">
        <v>67321116000000</v>
      </c>
      <c r="N60" s="2">
        <v>64085829000000</v>
      </c>
      <c r="O60" s="2">
        <v>57286885000000</v>
      </c>
      <c r="P60" s="2">
        <v>52212312000000</v>
      </c>
      <c r="Q60" s="2">
        <v>49479789000000</v>
      </c>
      <c r="R60" s="2">
        <v>46331642000000</v>
      </c>
      <c r="S60" s="2">
        <v>40144643000000</v>
      </c>
      <c r="T60" s="2">
        <v>33254867000000</v>
      </c>
      <c r="U60" s="2">
        <v>27296183000000</v>
      </c>
      <c r="V60" s="2">
        <v>16836695000000</v>
      </c>
      <c r="W60" s="2">
        <v>12936828000000</v>
      </c>
      <c r="X60" s="2">
        <v>14899725000000</v>
      </c>
      <c r="Y60" s="2">
        <v>12356348000000</v>
      </c>
    </row>
    <row r="61">
      <c r="B61" t="str">
        <v>Total Beban Usaha</v>
      </c>
      <c r="C61" s="2">
        <v>-8092732000000</v>
      </c>
      <c r="D61" s="2">
        <v>-6324992000000</v>
      </c>
      <c r="E61" s="2">
        <v>-9591768000000</v>
      </c>
      <c r="F61" s="2">
        <v>-9708917000000</v>
      </c>
      <c r="H61" s="2">
        <v>-33947388000000</v>
      </c>
      <c r="I61" s="2">
        <v>-32026233000000</v>
      </c>
      <c r="J61" s="2">
        <v>-31601781000000</v>
      </c>
      <c r="K61" s="2">
        <v>-30106081000000</v>
      </c>
      <c r="L61" s="2">
        <v>-31974038000000</v>
      </c>
      <c r="M61" s="2">
        <v>-33752609000000</v>
      </c>
      <c r="N61" s="2">
        <v>-27796831000000</v>
      </c>
      <c r="O61" s="2">
        <v>-24580821000000</v>
      </c>
      <c r="P61" s="2">
        <v>-23053569000000</v>
      </c>
      <c r="Q61" s="2">
        <v>-23640589000000</v>
      </c>
      <c r="R61" s="2">
        <v>-23674528000000</v>
      </c>
      <c r="S61" s="2">
        <v>-19639870000000</v>
      </c>
      <c r="T61" s="2">
        <v>-16176200000000</v>
      </c>
      <c r="U61" s="2">
        <v>-13040615000000</v>
      </c>
      <c r="V61" s="2">
        <v>-3539920000000</v>
      </c>
      <c r="W61" s="2">
        <v>-2536638000000</v>
      </c>
      <c r="X61" s="2">
        <v>-6380842000000</v>
      </c>
      <c r="Y61" s="2">
        <v>-4688441000000</v>
      </c>
    </row>
    <row r="62">
      <c r="B62" t="str">
        <v>Pendapatan Operasional La...</v>
      </c>
    </row>
    <row r="63">
      <c r="B63" t="str">
        <v>Provisi Dan Komisi Lainn...</v>
      </c>
      <c r="V63" s="2">
        <v>4556046000000</v>
      </c>
      <c r="W63" s="2">
        <v>3999326000000</v>
      </c>
      <c r="X63" s="2">
        <v>2761088000000</v>
      </c>
      <c r="Y63" s="2">
        <v>2538897000000</v>
      </c>
    </row>
    <row r="64">
      <c r="B64" t="str">
        <v>Keuntungan Transaksi Mat...</v>
      </c>
      <c r="X64" s="2">
        <v>600443000000</v>
      </c>
      <c r="Y64" s="2">
        <v>686996000000</v>
      </c>
    </row>
    <row r="65">
      <c r="B65" t="str">
        <v>Keuntungan (Rugi) Atas T...</v>
      </c>
      <c r="V65" s="2">
        <v>515111000000</v>
      </c>
      <c r="W65" s="2">
        <v>110837000000</v>
      </c>
    </row>
    <row r="66">
      <c r="B66" t="str">
        <v>Kenaikan Nilai Wajar Ase...</v>
      </c>
      <c r="V66" s="2">
        <v>74023000000</v>
      </c>
    </row>
    <row r="67">
      <c r="B67" t="str">
        <v>Keuntungan Dari Penjuala...</v>
      </c>
      <c r="V67" s="2">
        <v>558034000000</v>
      </c>
      <c r="W67" s="2">
        <v>1749503000000</v>
      </c>
      <c r="X67" s="2">
        <v>-16497000000</v>
      </c>
      <c r="Y67" s="2">
        <v>1441000000</v>
      </c>
    </row>
    <row r="68">
      <c r="B68" t="str">
        <v>Keuntungan Dari Perubaha...</v>
      </c>
      <c r="C68" s="2">
        <v>1048919000000</v>
      </c>
      <c r="D68" s="2">
        <v>4007144000000</v>
      </c>
      <c r="F68" s="2">
        <v>-912191000000</v>
      </c>
      <c r="H68" s="2">
        <v>4007144000000</v>
      </c>
      <c r="X68" s="2">
        <v>45933000000</v>
      </c>
      <c r="Y68" s="2">
        <v>-15870000000</v>
      </c>
    </row>
    <row r="69">
      <c r="B69" t="str">
        <v>Total Pendapatan Operas...</v>
      </c>
      <c r="C69" s="2">
        <v>2263814000000</v>
      </c>
      <c r="D69" s="2">
        <v>4168784000000</v>
      </c>
      <c r="E69" s="2">
        <v>1597622000000</v>
      </c>
      <c r="F69" s="2">
        <v>942759000000</v>
      </c>
      <c r="H69" s="2">
        <v>8656364000000</v>
      </c>
      <c r="I69" s="2">
        <v>8062458000000</v>
      </c>
      <c r="J69" s="2">
        <v>8163835000000</v>
      </c>
      <c r="K69" s="2">
        <v>6903203000000</v>
      </c>
      <c r="L69" s="2">
        <v>7658157000000</v>
      </c>
      <c r="M69" s="2">
        <v>7844182000000</v>
      </c>
      <c r="N69" s="2">
        <v>7536720000000</v>
      </c>
      <c r="O69" s="2">
        <v>5747335000000</v>
      </c>
      <c r="P69" s="2">
        <v>4769371000000</v>
      </c>
      <c r="Q69" s="2">
        <v>4299631000000</v>
      </c>
      <c r="R69" s="2">
        <v>1544530000000</v>
      </c>
      <c r="S69" s="2">
        <v>906027000000</v>
      </c>
      <c r="T69" s="2">
        <v>470940000000</v>
      </c>
      <c r="U69" s="2">
        <v>317773000000</v>
      </c>
      <c r="V69" s="2">
        <v>7213378000000</v>
      </c>
      <c r="W69" s="2">
        <v>7359500000000</v>
      </c>
      <c r="X69" s="2">
        <v>4331845000000</v>
      </c>
      <c r="Y69" s="2">
        <v>3862182000000</v>
      </c>
    </row>
    <row r="70">
      <c r="B70" t="str">
        <v>Beban Operasional Lainnya</v>
      </c>
    </row>
    <row r="71">
      <c r="B71" t="str">
        <v>Beban Penyisihan Kerugia...</v>
      </c>
      <c r="C71" s="2">
        <v>-1232275000000</v>
      </c>
      <c r="D71" s="2">
        <v>-488321000000</v>
      </c>
      <c r="E71" s="2">
        <v>-1511267000000</v>
      </c>
      <c r="F71" s="2">
        <v>-980427000000</v>
      </c>
      <c r="H71" s="2">
        <v>-4011047000000</v>
      </c>
      <c r="I71" s="2">
        <v>-2034453000000</v>
      </c>
      <c r="J71" s="2">
        <v>-2263049000000</v>
      </c>
      <c r="K71" s="2">
        <v>-4526619000000</v>
      </c>
      <c r="L71" s="2">
        <v>-9323995000000</v>
      </c>
      <c r="M71" s="2">
        <v>-11628076000000</v>
      </c>
      <c r="N71" s="2">
        <v>-4591343000000</v>
      </c>
      <c r="O71" s="2">
        <v>-2676602000000</v>
      </c>
      <c r="P71" s="2">
        <v>-2632619000000</v>
      </c>
      <c r="Q71" s="2">
        <v>-4561274000000</v>
      </c>
      <c r="R71" s="2">
        <v>-3504995000000</v>
      </c>
      <c r="S71" s="2">
        <v>-2239578000000</v>
      </c>
      <c r="T71" s="2">
        <v>-2015678000000</v>
      </c>
      <c r="U71" s="2">
        <v>-498670000000</v>
      </c>
      <c r="V71" s="2">
        <v>-559209000000</v>
      </c>
      <c r="W71" s="2">
        <v>333066000000</v>
      </c>
      <c r="X71" s="2">
        <v>-2242533000000</v>
      </c>
      <c r="Y71" s="2">
        <v>-1754149000000</v>
      </c>
    </row>
    <row r="72">
      <c r="B72" t="str">
        <v>Beban Tenaga Kerja</v>
      </c>
      <c r="C72" s="2">
        <v>-4733979000000</v>
      </c>
      <c r="D72" s="2">
        <v>-4308002000000</v>
      </c>
      <c r="E72" s="2">
        <v>-4398614000000</v>
      </c>
      <c r="F72" s="2">
        <v>-4193565000000</v>
      </c>
      <c r="H72" s="2">
        <v>-17780770000000</v>
      </c>
      <c r="I72" s="2">
        <v>-17444242000000</v>
      </c>
      <c r="J72" s="2">
        <v>-16197811000000</v>
      </c>
      <c r="K72" s="2">
        <v>-13651458000000</v>
      </c>
      <c r="L72" s="2">
        <v>-13487127000000</v>
      </c>
      <c r="M72" s="2">
        <v>-13349775000000</v>
      </c>
      <c r="N72" s="2">
        <v>-13337264000000</v>
      </c>
      <c r="O72" s="2">
        <v>-12143106000000</v>
      </c>
      <c r="P72" s="2">
        <v>-11335155000000</v>
      </c>
      <c r="Q72" s="2">
        <v>-10629884000000</v>
      </c>
      <c r="R72" s="2">
        <v>-9728509000000</v>
      </c>
      <c r="S72" s="2">
        <v>-8670906000000</v>
      </c>
      <c r="T72" s="2">
        <v>-6864614000000</v>
      </c>
      <c r="U72" s="2">
        <v>-6154966000000</v>
      </c>
      <c r="V72" s="2">
        <v>-5204359000000</v>
      </c>
      <c r="W72" s="2">
        <v>-4544611000000</v>
      </c>
      <c r="X72" s="2">
        <v>-4186617000000</v>
      </c>
      <c r="Y72" s="2">
        <v>-3283965000000</v>
      </c>
    </row>
    <row r="73">
      <c r="B73" t="str">
        <v>Beban Umum Dan Administr...</v>
      </c>
      <c r="C73" s="2">
        <v>-3434164000000</v>
      </c>
      <c r="D73" s="2">
        <v>-4906445000000</v>
      </c>
      <c r="E73" s="2">
        <v>-4090682000000</v>
      </c>
      <c r="F73" s="2">
        <v>-4467380000000</v>
      </c>
      <c r="H73" s="2">
        <v>-16780115000000</v>
      </c>
      <c r="I73" s="2">
        <v>-16874142000000</v>
      </c>
      <c r="J73" s="2">
        <v>-17496896000000</v>
      </c>
      <c r="K73" s="2">
        <v>-15390436000000</v>
      </c>
      <c r="L73" s="2">
        <v>-13494571000000</v>
      </c>
      <c r="M73" s="2">
        <v>-12978260000000</v>
      </c>
      <c r="N73" s="2">
        <v>-14115175000000</v>
      </c>
      <c r="O73" s="2">
        <v>-13026592000000</v>
      </c>
      <c r="P73" s="2">
        <v>-12305650000000</v>
      </c>
      <c r="Q73" s="2">
        <v>-11228563000000</v>
      </c>
      <c r="R73" s="2">
        <v>-10874770000000</v>
      </c>
      <c r="S73" s="2">
        <v>-8931363000000</v>
      </c>
      <c r="T73" s="2">
        <v>-7386260000000</v>
      </c>
      <c r="U73" s="2">
        <v>-6450204000000</v>
      </c>
      <c r="V73" s="2">
        <v>-5468543000000</v>
      </c>
      <c r="W73" s="2">
        <v>-4795466000000</v>
      </c>
      <c r="X73" s="2">
        <v>-4066016000000</v>
      </c>
      <c r="Y73" s="2">
        <v>-3332376000000</v>
      </c>
    </row>
    <row r="74">
      <c r="B74" t="str">
        <v>Penurunan Nilai Wajar As...</v>
      </c>
      <c r="W74" s="2">
        <v>-13809000000</v>
      </c>
    </row>
    <row r="75">
      <c r="B75" t="str">
        <v>Total Beban Operasional...</v>
      </c>
      <c r="C75" s="2">
        <v>-10356546000000</v>
      </c>
      <c r="D75" s="2">
        <v>-10493776000000</v>
      </c>
      <c r="E75" s="2">
        <v>-11189390000000</v>
      </c>
      <c r="F75" s="2">
        <v>-10651676000000</v>
      </c>
      <c r="H75" s="2">
        <v>-42603752000000</v>
      </c>
      <c r="I75" s="2">
        <v>-40088691000000</v>
      </c>
      <c r="J75" s="2">
        <v>-39765616000000</v>
      </c>
      <c r="K75" s="2">
        <v>-37009284000000</v>
      </c>
      <c r="L75" s="2">
        <v>-39632195000000</v>
      </c>
      <c r="M75" s="2">
        <v>-41596791000000</v>
      </c>
      <c r="N75" s="2">
        <v>-35333551000000</v>
      </c>
      <c r="O75" s="2">
        <v>-30328156000000</v>
      </c>
      <c r="P75" s="2">
        <v>-27822940000000</v>
      </c>
      <c r="Q75" s="2">
        <v>-27940220000000</v>
      </c>
      <c r="R75" s="2">
        <v>-25219058000000</v>
      </c>
      <c r="S75" s="2">
        <v>-20545897000000</v>
      </c>
      <c r="T75" s="2">
        <v>-16647140000000</v>
      </c>
      <c r="U75" s="2">
        <v>-13358388000000</v>
      </c>
      <c r="V75" s="2">
        <v>-10753298000000</v>
      </c>
      <c r="W75" s="2">
        <v>-9896138000000</v>
      </c>
      <c r="X75" s="2">
        <v>-10712687000000</v>
      </c>
      <c r="Y75" s="2">
        <v>-8550623000000</v>
      </c>
    </row>
    <row r="76">
      <c r="B76" t="str">
        <v>Laba Usaha</v>
      </c>
      <c r="C76" s="2">
        <v>18077072000000</v>
      </c>
      <c r="D76" s="2">
        <v>17493932000000</v>
      </c>
      <c r="E76" s="2">
        <v>17973285000000</v>
      </c>
      <c r="F76" s="2">
        <v>18337997000000</v>
      </c>
      <c r="H76" s="2">
        <v>71260876000000</v>
      </c>
      <c r="I76" s="2">
        <v>68217850000000</v>
      </c>
      <c r="J76" s="2">
        <v>60179757000000</v>
      </c>
      <c r="K76" s="2">
        <v>50467033000000</v>
      </c>
      <c r="L76" s="2">
        <v>38841174000000</v>
      </c>
      <c r="M76" s="2">
        <v>33568507000000</v>
      </c>
      <c r="N76" s="2">
        <v>36288998000000</v>
      </c>
      <c r="O76" s="2">
        <v>32706064000000</v>
      </c>
      <c r="P76" s="2">
        <v>29158743000000</v>
      </c>
      <c r="Q76" s="2">
        <v>25839200000000</v>
      </c>
      <c r="R76" s="2">
        <v>22657114000000</v>
      </c>
      <c r="S76" s="2">
        <v>20504773000000</v>
      </c>
      <c r="T76" s="2">
        <v>17078667000000</v>
      </c>
      <c r="U76" s="2">
        <v>14255568000000</v>
      </c>
      <c r="V76" s="2">
        <v>13296775000000</v>
      </c>
      <c r="W76" s="2">
        <v>10400190000000</v>
      </c>
      <c r="X76" s="2">
        <v>8518883000000</v>
      </c>
      <c r="Y76" s="2">
        <v>7667907000000</v>
      </c>
    </row>
    <row r="77">
      <c r="B77" t="str">
        <v>Penghasilan/Beban Lain-Lain</v>
      </c>
      <c r="S77" s="2">
        <v>236348000000</v>
      </c>
      <c r="T77" s="2">
        <v>736939000000</v>
      </c>
      <c r="U77" s="2">
        <v>430478000000</v>
      </c>
      <c r="V77" s="2">
        <v>321983000000</v>
      </c>
      <c r="W77" s="2">
        <v>253079000000</v>
      </c>
      <c r="X77" s="2">
        <v>426209000000</v>
      </c>
      <c r="Y77" s="2">
        <v>52136000000</v>
      </c>
    </row>
    <row r="78">
      <c r="B78" t="str">
        <v>Laba (Rugi) Atas Penjuala...</v>
      </c>
      <c r="V78" s="2">
        <v>7007000000</v>
      </c>
      <c r="W78" s="2">
        <v>9673000000</v>
      </c>
      <c r="X78" s="2">
        <v>9756000000</v>
      </c>
      <c r="Y78" s="2">
        <v>5974000000</v>
      </c>
    </row>
    <row r="79">
      <c r="B79" t="str">
        <v>Laba (Rugi) Selisih Kurs</v>
      </c>
      <c r="V79" s="2">
        <v>85559000000</v>
      </c>
      <c r="W79" s="2">
        <v>64088000000</v>
      </c>
    </row>
    <row r="80">
      <c r="B80" t="str">
        <v>Total Penghasilan/Beban Lain-...</v>
      </c>
      <c r="S80" s="2">
        <v>236348000000</v>
      </c>
      <c r="T80" s="2">
        <v>736939000000</v>
      </c>
      <c r="U80" s="2">
        <v>430478000000</v>
      </c>
      <c r="V80" s="2">
        <v>321983000000</v>
      </c>
      <c r="W80" s="2">
        <v>253079000000</v>
      </c>
      <c r="X80" s="2">
        <v>426209000000</v>
      </c>
      <c r="Y80" s="2">
        <v>52136000000</v>
      </c>
    </row>
    <row r="81">
      <c r="B81" t="str">
        <v>Laba Sebelum Pajak</v>
      </c>
      <c r="C81" s="2">
        <v>18077072000000</v>
      </c>
      <c r="D81" s="2">
        <v>17493932000000</v>
      </c>
      <c r="E81" s="2">
        <v>17973285000000</v>
      </c>
      <c r="F81" s="2">
        <v>18337997000000</v>
      </c>
      <c r="H81" s="2">
        <v>71260876000000</v>
      </c>
      <c r="I81" s="2">
        <v>68217850000000</v>
      </c>
      <c r="J81" s="2">
        <v>60179757000000</v>
      </c>
      <c r="K81" s="2">
        <v>50467033000000</v>
      </c>
      <c r="L81" s="2">
        <v>38841174000000</v>
      </c>
      <c r="M81" s="2">
        <v>33568507000000</v>
      </c>
      <c r="N81" s="2">
        <v>36288998000000</v>
      </c>
      <c r="O81" s="2">
        <v>32706064000000</v>
      </c>
      <c r="P81" s="2">
        <v>29158743000000</v>
      </c>
      <c r="Q81" s="2">
        <v>25839200000000</v>
      </c>
      <c r="R81" s="2">
        <v>22657114000000</v>
      </c>
      <c r="S81" s="2">
        <v>20741121000000</v>
      </c>
      <c r="T81" s="2">
        <v>17815606000000</v>
      </c>
      <c r="U81" s="2">
        <v>14686046000000</v>
      </c>
      <c r="V81" s="2">
        <v>13618758000000</v>
      </c>
      <c r="W81" s="2">
        <v>10653269000000</v>
      </c>
      <c r="X81" s="2">
        <v>8945092000000</v>
      </c>
      <c r="Y81" s="2">
        <v>7720043000000</v>
      </c>
    </row>
    <row r="82">
      <c r="B82" t="str">
        <v>Beban Pajak Penghasilan</v>
      </c>
      <c r="C82" s="2">
        <v>-3387273000000</v>
      </c>
      <c r="D82" s="2">
        <v>-3344302000000</v>
      </c>
      <c r="E82" s="2">
        <v>-3582791000000</v>
      </c>
      <c r="F82" s="2">
        <v>-3462018000000</v>
      </c>
      <c r="H82" s="2">
        <v>-13697783000000</v>
      </c>
      <c r="I82" s="2">
        <v>-13366576000000</v>
      </c>
      <c r="J82" s="2">
        <v>-11521662000000</v>
      </c>
      <c r="K82" s="2">
        <v>-9711461000000</v>
      </c>
      <c r="L82" s="2">
        <v>-7401015000000</v>
      </c>
      <c r="M82" s="2">
        <v>-6421398000000</v>
      </c>
      <c r="N82" s="2">
        <v>-7719024000000</v>
      </c>
      <c r="O82" s="2">
        <v>-6854404000000</v>
      </c>
      <c r="P82" s="2">
        <v>-5837593000000</v>
      </c>
      <c r="Q82" s="2">
        <v>-5206919000000</v>
      </c>
      <c r="R82" s="2">
        <v>-4621346000000</v>
      </c>
      <c r="S82" s="2">
        <v>-4229451000000</v>
      </c>
      <c r="T82" s="2">
        <v>-3559367000000</v>
      </c>
      <c r="U82" s="2">
        <v>-2967586000000</v>
      </c>
      <c r="V82" s="2">
        <v>-2800960000000</v>
      </c>
      <c r="W82" s="2">
        <v>-2173996000000</v>
      </c>
      <c r="X82" s="2">
        <v>-2137850000000</v>
      </c>
      <c r="Y82" s="2">
        <v>-1943904000000</v>
      </c>
    </row>
    <row r="83">
      <c r="B83" t="str">
        <v>Pajak Kini</v>
      </c>
      <c r="P83" s="2">
        <v>-5762403000000</v>
      </c>
      <c r="Q83" s="2">
        <v>-5593753000000</v>
      </c>
      <c r="R83" s="2">
        <v>-5021659000000</v>
      </c>
      <c r="S83" s="2">
        <v>-4548974000000</v>
      </c>
      <c r="T83" s="2">
        <v>-3973278000000</v>
      </c>
      <c r="U83" s="2">
        <v>-3141702000000</v>
      </c>
      <c r="V83" s="2">
        <v>-2628781000000</v>
      </c>
      <c r="W83" s="2">
        <v>-2255244000000</v>
      </c>
      <c r="X83" s="2">
        <v>-2539930000000</v>
      </c>
      <c r="Y83" s="2">
        <v>-2342474000000</v>
      </c>
    </row>
    <row r="84">
      <c r="B84" t="str">
        <v>Pajak Tangguhan</v>
      </c>
      <c r="P84" s="2">
        <v>-75190000000</v>
      </c>
      <c r="Q84" s="2">
        <v>386834000000</v>
      </c>
      <c r="R84" s="2">
        <v>400313000000</v>
      </c>
      <c r="S84" s="2">
        <v>319523000000</v>
      </c>
      <c r="T84" s="2">
        <v>413911000000</v>
      </c>
      <c r="U84" s="2">
        <v>174116000000</v>
      </c>
      <c r="V84" s="2">
        <v>-172179000000</v>
      </c>
      <c r="W84" s="2">
        <v>81248000000</v>
      </c>
      <c r="X84" s="2">
        <v>402080000000</v>
      </c>
      <c r="Y84" s="2">
        <v>398570000000</v>
      </c>
    </row>
    <row r="85">
      <c r="B85" t="str">
        <v>Total Beban Pajak Penghasilan</v>
      </c>
      <c r="C85" s="2">
        <v>-3387273000000</v>
      </c>
      <c r="D85" s="2">
        <v>-3344302000000</v>
      </c>
      <c r="E85" s="2">
        <v>-3582791000000</v>
      </c>
      <c r="F85" s="2">
        <v>-3462018000000</v>
      </c>
      <c r="H85" s="2">
        <v>-13697783000000</v>
      </c>
      <c r="I85" s="2">
        <v>-13366576000000</v>
      </c>
      <c r="J85" s="2">
        <v>-11521662000000</v>
      </c>
      <c r="K85" s="2">
        <v>-9711461000000</v>
      </c>
      <c r="L85" s="2">
        <v>-7401015000000</v>
      </c>
      <c r="M85" s="2">
        <v>-6421398000000</v>
      </c>
      <c r="N85" s="2">
        <v>-7719024000000</v>
      </c>
      <c r="O85" s="2">
        <v>-6854404000000</v>
      </c>
      <c r="P85" s="2">
        <v>-5837593000000</v>
      </c>
      <c r="Q85" s="2">
        <v>-5206919000000</v>
      </c>
      <c r="R85" s="2">
        <v>-4621346000000</v>
      </c>
      <c r="S85" s="2">
        <v>-4229451000000</v>
      </c>
      <c r="T85" s="2">
        <v>-3559367000000</v>
      </c>
      <c r="U85" s="2">
        <v>-2967586000000</v>
      </c>
      <c r="V85" s="2">
        <v>-2800960000000</v>
      </c>
      <c r="W85" s="2">
        <v>-2173996000000</v>
      </c>
      <c r="X85" s="2">
        <v>-2137850000000</v>
      </c>
      <c r="Y85" s="2">
        <v>-1943904000000</v>
      </c>
    </row>
    <row r="86">
      <c r="B86" t="str">
        <v>Laba Bersih Tahun Berjalan</v>
      </c>
      <c r="C86" s="2">
        <v>14689799000000</v>
      </c>
      <c r="D86" s="2">
        <v>14149630000000</v>
      </c>
      <c r="E86" s="2">
        <v>14390494000000</v>
      </c>
      <c r="F86" s="2">
        <v>14875979000000</v>
      </c>
      <c r="H86" s="2">
        <v>57563093000000</v>
      </c>
      <c r="I86" s="2">
        <v>54851274000000</v>
      </c>
      <c r="J86" s="2">
        <v>48658095000000</v>
      </c>
      <c r="K86" s="2">
        <v>40755572000000</v>
      </c>
      <c r="L86" s="2">
        <v>31440159000000</v>
      </c>
      <c r="M86" s="2">
        <v>27147109000000</v>
      </c>
      <c r="N86" s="2">
        <v>28569974000000</v>
      </c>
      <c r="O86" s="2">
        <v>25851660000000</v>
      </c>
      <c r="P86" s="2">
        <v>23321150000000</v>
      </c>
      <c r="Q86" s="2">
        <v>20632281000000</v>
      </c>
      <c r="R86" s="2">
        <v>18035768000000</v>
      </c>
      <c r="S86" s="2">
        <v>16511670000000</v>
      </c>
      <c r="T86" s="2">
        <v>14256239000000</v>
      </c>
      <c r="U86" s="2">
        <v>11718460000000</v>
      </c>
      <c r="V86" s="2">
        <v>10817798000000</v>
      </c>
      <c r="W86" s="2">
        <v>8479273000000</v>
      </c>
      <c r="X86" s="2">
        <v>6807242000000</v>
      </c>
      <c r="Y86" s="2">
        <v>5776139000000</v>
      </c>
    </row>
    <row r="87">
      <c r="B87" t="str">
        <v>Pendapatan Komprehensif Lain</v>
      </c>
      <c r="C87" s="2">
        <v>-1386183000000</v>
      </c>
      <c r="D87" s="2">
        <v>-418678000000</v>
      </c>
      <c r="E87" s="2">
        <v>759701000000</v>
      </c>
      <c r="F87" s="2">
        <v>638982000000</v>
      </c>
      <c r="H87" s="2">
        <v>1345964000000</v>
      </c>
      <c r="I87" s="2">
        <v>-344954000000</v>
      </c>
      <c r="J87" s="2">
        <v>-1106209000000</v>
      </c>
      <c r="K87" s="2">
        <v>-3322718000000</v>
      </c>
      <c r="L87" s="2">
        <v>426906000000</v>
      </c>
      <c r="M87" s="2">
        <v>3889342000000</v>
      </c>
      <c r="N87" s="2">
        <v>2568287000000</v>
      </c>
      <c r="O87" s="2">
        <v>910375000000</v>
      </c>
      <c r="P87" s="2">
        <v>754591000000</v>
      </c>
      <c r="Q87" s="2">
        <v>6772464000000</v>
      </c>
      <c r="R87" s="2">
        <v>-344263000000</v>
      </c>
      <c r="S87" s="2">
        <v>413501000000</v>
      </c>
      <c r="T87" s="2">
        <v>-1251927000000</v>
      </c>
      <c r="U87" s="2">
        <v>180063000000</v>
      </c>
      <c r="V87" s="2">
        <v>-47589000000</v>
      </c>
    </row>
    <row r="88">
      <c r="B88" t="str">
        <v>Total Pendapatan Komprehensif...</v>
      </c>
      <c r="C88" s="2">
        <v>-1386183000000</v>
      </c>
      <c r="D88" s="2">
        <v>-418678000000</v>
      </c>
      <c r="E88" s="2">
        <v>759701000000</v>
      </c>
      <c r="F88" s="2">
        <v>638982000000</v>
      </c>
      <c r="H88" s="2">
        <v>1345964000000</v>
      </c>
      <c r="I88" s="2">
        <v>-344954000000</v>
      </c>
      <c r="J88" s="2">
        <v>-1106209000000</v>
      </c>
      <c r="K88" s="2">
        <v>-3322718000000</v>
      </c>
      <c r="L88" s="2">
        <v>426906000000</v>
      </c>
      <c r="M88" s="2">
        <v>3889342000000</v>
      </c>
      <c r="N88" s="2">
        <v>2568287000000</v>
      </c>
      <c r="O88" s="2">
        <v>910375000000</v>
      </c>
      <c r="P88" s="2">
        <v>754591000000</v>
      </c>
      <c r="Q88" s="2">
        <v>6772464000000</v>
      </c>
      <c r="R88" s="2">
        <v>-344263000000</v>
      </c>
      <c r="S88" s="2">
        <v>413501000000</v>
      </c>
      <c r="T88" s="2">
        <v>-1251927000000</v>
      </c>
      <c r="U88" s="2">
        <v>180063000000</v>
      </c>
      <c r="V88" s="2">
        <v>-47589000000</v>
      </c>
    </row>
    <row r="89">
      <c r="B89" t="str">
        <v>Jumlah Laba Komprehensif</v>
      </c>
      <c r="C89" s="2">
        <v>13303616000000</v>
      </c>
      <c r="D89" s="2">
        <v>13730952000000</v>
      </c>
      <c r="E89" s="2">
        <v>15150195000000</v>
      </c>
      <c r="F89" s="2">
        <v>15514961000000</v>
      </c>
      <c r="H89" s="2">
        <v>58909057000000</v>
      </c>
      <c r="I89" s="2">
        <v>54506320000000</v>
      </c>
      <c r="J89" s="2">
        <v>47551886000000</v>
      </c>
      <c r="K89" s="2">
        <v>37432854000000</v>
      </c>
      <c r="L89" s="2">
        <v>31867065000000</v>
      </c>
      <c r="M89" s="2">
        <v>31036451000000</v>
      </c>
      <c r="N89" s="2">
        <v>31138261000000</v>
      </c>
      <c r="O89" s="2">
        <v>26762035000000</v>
      </c>
      <c r="P89" s="2">
        <v>24075741000000</v>
      </c>
      <c r="Q89" s="2">
        <v>27404745000000</v>
      </c>
      <c r="R89" s="2">
        <v>17691505000000</v>
      </c>
      <c r="S89" s="2">
        <v>16925171000000</v>
      </c>
      <c r="T89" s="2">
        <v>13004312000000</v>
      </c>
      <c r="U89" s="2">
        <v>11898523000000</v>
      </c>
      <c r="V89" s="2">
        <v>10770209000000</v>
      </c>
    </row>
    <row r="90">
      <c r="B90" t="str">
        <v>Laba Bersih Yang Dapat Diatribu...</v>
      </c>
      <c r="C90" s="2">
        <v>14689799000000</v>
      </c>
      <c r="D90" s="2">
        <v>14149630000000</v>
      </c>
      <c r="E90" s="2">
        <v>14390494000000</v>
      </c>
      <c r="F90" s="2">
        <v>14875979000000</v>
      </c>
      <c r="H90" s="2">
        <v>57563093000000</v>
      </c>
      <c r="I90" s="2">
        <v>54851274000000</v>
      </c>
      <c r="J90" s="2">
        <v>48658095000000</v>
      </c>
      <c r="K90" s="2">
        <v>40755572000000</v>
      </c>
      <c r="L90" s="2">
        <v>31440159000000</v>
      </c>
      <c r="M90" s="2">
        <v>27147109000000</v>
      </c>
      <c r="N90" s="2">
        <v>28569974000000</v>
      </c>
      <c r="O90" s="2">
        <v>25851660000000</v>
      </c>
      <c r="P90" s="2">
        <v>23321150000000</v>
      </c>
      <c r="Q90" s="2">
        <v>20632281000000</v>
      </c>
      <c r="R90" s="2">
        <v>18035768000000</v>
      </c>
      <c r="S90" s="2">
        <v>16511670000000</v>
      </c>
      <c r="T90" s="2">
        <v>14256239000000</v>
      </c>
      <c r="U90" s="2">
        <v>11718460000000</v>
      </c>
      <c r="V90" s="2">
        <v>10817798000000</v>
      </c>
      <c r="W90" s="2">
        <v>8479273000000</v>
      </c>
      <c r="X90" s="2">
        <v>6807242000000</v>
      </c>
      <c r="Y90" s="2">
        <v>5776139000000</v>
      </c>
    </row>
    <row r="91">
      <c r="B91" t="str">
        <v>Pemilik Entitas Induk</v>
      </c>
      <c r="C91" s="2">
        <v>13298307000000</v>
      </c>
      <c r="D91" s="2">
        <v>13729080000000</v>
      </c>
      <c r="E91" s="2">
        <v>15135815000000</v>
      </c>
      <c r="F91" s="2">
        <v>15505617000000</v>
      </c>
      <c r="H91" s="2">
        <v>58882446000000</v>
      </c>
      <c r="I91" s="2">
        <v>54493191000000</v>
      </c>
      <c r="J91" s="2">
        <v>47533598000000</v>
      </c>
      <c r="K91" s="2">
        <v>37413477000000</v>
      </c>
      <c r="L91" s="2">
        <v>31849276000000</v>
      </c>
      <c r="M91" s="2">
        <v>31018293000000</v>
      </c>
      <c r="N91" s="2">
        <v>31131779000000</v>
      </c>
      <c r="O91" s="2">
        <v>26766431000000</v>
      </c>
      <c r="P91" s="2">
        <v>24063606000000</v>
      </c>
      <c r="Q91" s="2">
        <v>27378282000000</v>
      </c>
      <c r="R91" s="2">
        <v>17673517000000</v>
      </c>
      <c r="S91" s="2">
        <v>16899359000000</v>
      </c>
      <c r="T91" s="2">
        <v>13001904000000</v>
      </c>
      <c r="U91" s="2">
        <v>11901780000000</v>
      </c>
      <c r="V91" s="2">
        <v>10771720000000</v>
      </c>
    </row>
    <row r="92">
      <c r="B92" t="str">
        <v>Kepentingan Non-Pegendali</v>
      </c>
      <c r="C92" s="2">
        <v>5309000000</v>
      </c>
      <c r="D92" s="2">
        <v>1872000000</v>
      </c>
      <c r="E92" s="2">
        <v>14380000000</v>
      </c>
      <c r="F92" s="2">
        <v>9344000000</v>
      </c>
      <c r="H92" s="2">
        <v>26611000000</v>
      </c>
      <c r="I92" s="2">
        <v>13129000000</v>
      </c>
      <c r="J92" s="2">
        <v>18288000000</v>
      </c>
      <c r="K92" s="2">
        <v>19377000000</v>
      </c>
      <c r="L92" s="2">
        <v>17789000000</v>
      </c>
      <c r="M92" s="2">
        <v>18158000000</v>
      </c>
      <c r="N92" s="2">
        <v>6482000000</v>
      </c>
      <c r="O92" s="2">
        <v>-4396000000</v>
      </c>
      <c r="P92" s="2">
        <v>12135000000</v>
      </c>
      <c r="Q92" s="2">
        <v>26463000000</v>
      </c>
      <c r="R92" s="2">
        <v>17988000000</v>
      </c>
      <c r="S92" s="2">
        <v>25812000000</v>
      </c>
      <c r="T92" s="2">
        <v>2408000000</v>
      </c>
      <c r="U92" s="2">
        <v>-3257000000</v>
      </c>
      <c r="V92" s="2">
        <v>-1511000000</v>
      </c>
    </row>
    <row r="93">
      <c r="B93" t="str">
        <v>Total Laba Bersih Yang Dapat ...</v>
      </c>
      <c r="C93" s="2">
        <v>14689799000000</v>
      </c>
      <c r="D93" s="2">
        <v>14149630000000</v>
      </c>
      <c r="E93" s="2">
        <v>14390494000000</v>
      </c>
      <c r="F93" s="2">
        <v>14875979000000</v>
      </c>
      <c r="H93" s="2">
        <v>57563093000000</v>
      </c>
      <c r="I93" s="2">
        <v>54851274000000</v>
      </c>
      <c r="J93" s="2">
        <v>48658095000000</v>
      </c>
      <c r="K93" s="2">
        <v>40755572000000</v>
      </c>
      <c r="L93" s="2">
        <v>31440159000000</v>
      </c>
      <c r="M93" s="2">
        <v>27147109000000</v>
      </c>
      <c r="N93" s="2">
        <v>28569974000000</v>
      </c>
      <c r="O93" s="2">
        <v>25851660000000</v>
      </c>
      <c r="P93" s="2">
        <v>23321150000000</v>
      </c>
      <c r="Q93" s="2">
        <v>20632281000000</v>
      </c>
      <c r="R93" s="2">
        <v>18035768000000</v>
      </c>
      <c r="S93" s="2">
        <v>16511670000000</v>
      </c>
      <c r="T93" s="2">
        <v>14256239000000</v>
      </c>
      <c r="U93" s="2">
        <v>11718460000000</v>
      </c>
      <c r="V93" s="2">
        <v>10817798000000</v>
      </c>
      <c r="W93" s="2">
        <v>8479273000000</v>
      </c>
      <c r="X93" s="2">
        <v>6807242000000</v>
      </c>
      <c r="Y93" s="2">
        <v>5776139000000</v>
      </c>
    </row>
    <row r="94">
      <c r="B94" t="str">
        <v>Laba Komprehensif Yang Dapat Di...</v>
      </c>
      <c r="C94" s="2">
        <v>13303616000000</v>
      </c>
      <c r="D94" s="2">
        <v>13730952000000</v>
      </c>
      <c r="E94" s="2">
        <v>15150195000000</v>
      </c>
      <c r="F94" s="2">
        <v>15514961000000</v>
      </c>
      <c r="H94" s="2">
        <v>58909057000000</v>
      </c>
      <c r="I94" s="2">
        <v>54506320000000</v>
      </c>
      <c r="J94" s="2">
        <v>47551886000000</v>
      </c>
      <c r="K94" s="2">
        <v>37432854000000</v>
      </c>
      <c r="L94" s="2">
        <v>31867065000000</v>
      </c>
      <c r="M94" s="2">
        <v>31036451000000</v>
      </c>
      <c r="N94" s="2">
        <v>31138261000000</v>
      </c>
      <c r="O94" s="2">
        <v>26762035000000</v>
      </c>
      <c r="P94" s="2">
        <v>24075741000000</v>
      </c>
      <c r="Q94" s="2">
        <v>27404745000000</v>
      </c>
      <c r="R94" s="2">
        <v>17691505000000</v>
      </c>
      <c r="S94" s="2">
        <v>16925171000000</v>
      </c>
      <c r="T94" s="2">
        <v>13004312000000</v>
      </c>
      <c r="U94" s="2">
        <v>11898523000000</v>
      </c>
      <c r="V94" s="2">
        <v>10770209000000</v>
      </c>
    </row>
    <row r="95">
      <c r="B95" t="str">
        <v>Total Laba Komprehensif Yang ...</v>
      </c>
      <c r="C95" s="2">
        <v>13303616000000</v>
      </c>
      <c r="D95" s="2">
        <v>13730952000000</v>
      </c>
      <c r="E95" s="2">
        <v>15150195000000</v>
      </c>
      <c r="F95" s="2">
        <v>15514961000000</v>
      </c>
      <c r="H95" s="2">
        <v>58909057000000</v>
      </c>
      <c r="I95" s="2">
        <v>54506320000000</v>
      </c>
      <c r="J95" s="2">
        <v>47551886000000</v>
      </c>
      <c r="K95" s="2">
        <v>37432854000000</v>
      </c>
      <c r="L95" s="2">
        <v>31867065000000</v>
      </c>
      <c r="M95" s="2">
        <v>31036451000000</v>
      </c>
      <c r="N95" s="2">
        <v>31138261000000</v>
      </c>
      <c r="O95" s="2">
        <v>26762035000000</v>
      </c>
      <c r="P95" s="2">
        <v>24075741000000</v>
      </c>
      <c r="Q95" s="2">
        <v>27404745000000</v>
      </c>
      <c r="R95" s="2">
        <v>17691505000000</v>
      </c>
      <c r="S95" s="2">
        <v>16925171000000</v>
      </c>
      <c r="T95" s="2">
        <v>13004312000000</v>
      </c>
      <c r="U95" s="2">
        <v>11898523000000</v>
      </c>
      <c r="V95" s="2">
        <v>10770209000000</v>
      </c>
    </row>
    <row r="97">
      <c r="A97" t="str">
        <v>Balance Sheet</v>
      </c>
      <c r="B97" t="str">
        <v>Aset</v>
      </c>
    </row>
    <row r="98">
      <c r="B98" t="str">
        <v>Kas Dan Setara Kas</v>
      </c>
      <c r="C98" s="2">
        <v>23963776000000</v>
      </c>
      <c r="D98" s="2">
        <v>25305031000000</v>
      </c>
      <c r="E98" s="2">
        <v>18427521000000</v>
      </c>
      <c r="F98" s="2">
        <v>22174448000000</v>
      </c>
      <c r="H98" s="2">
        <v>25305031000000</v>
      </c>
      <c r="I98" s="2">
        <v>29315878000000</v>
      </c>
      <c r="J98" s="2">
        <v>21701514000000</v>
      </c>
      <c r="K98" s="2">
        <v>21359509000000</v>
      </c>
      <c r="L98" s="2">
        <v>23615635000000</v>
      </c>
      <c r="M98" s="2">
        <v>24322335000000</v>
      </c>
      <c r="N98" s="2">
        <v>25421406000000</v>
      </c>
      <c r="O98" s="2">
        <v>21691443000000</v>
      </c>
      <c r="P98" s="2">
        <v>16754289000000</v>
      </c>
      <c r="Q98" s="2">
        <v>15943854000000</v>
      </c>
      <c r="R98" s="2">
        <v>17849460000000</v>
      </c>
      <c r="S98" s="2">
        <v>19577571000000</v>
      </c>
      <c r="T98" s="2">
        <v>16284142000000</v>
      </c>
      <c r="U98" s="2">
        <v>11054208000000</v>
      </c>
      <c r="V98" s="2">
        <v>10355620000000</v>
      </c>
      <c r="W98" s="2">
        <v>9639057000000</v>
      </c>
      <c r="X98" s="2">
        <v>8865151000000</v>
      </c>
      <c r="Y98" s="2">
        <v>10798921000000</v>
      </c>
    </row>
    <row r="99">
      <c r="B99" t="str">
        <v>Giro Pada Bank Indonesia</v>
      </c>
      <c r="C99" s="2">
        <v>58196922000000</v>
      </c>
      <c r="D99" s="2">
        <v>47768278000000</v>
      </c>
      <c r="E99" s="2">
        <v>60159738000000</v>
      </c>
      <c r="F99" s="2">
        <v>51752065000000</v>
      </c>
      <c r="H99" s="2">
        <v>47768278000000</v>
      </c>
      <c r="I99" s="2">
        <v>36408142000000</v>
      </c>
      <c r="J99" s="2">
        <v>92617705000000</v>
      </c>
      <c r="K99" s="2">
        <v>104110295000000</v>
      </c>
      <c r="L99" s="2">
        <v>65785161000000</v>
      </c>
      <c r="M99" s="2">
        <v>27482178000000</v>
      </c>
      <c r="N99" s="2">
        <v>47904674000000</v>
      </c>
      <c r="O99" s="2">
        <v>43548309000000</v>
      </c>
      <c r="P99" s="2">
        <v>43472752000000</v>
      </c>
      <c r="Q99" s="2">
        <v>40596730000000</v>
      </c>
      <c r="R99" s="2">
        <v>37774577000000</v>
      </c>
      <c r="S99" s="2">
        <v>38875175000000</v>
      </c>
      <c r="T99" s="2">
        <v>35269077000000</v>
      </c>
      <c r="U99" s="2">
        <v>33848000000000</v>
      </c>
      <c r="V99" s="2">
        <v>31881075000000</v>
      </c>
      <c r="W99" s="2">
        <v>20585480000000</v>
      </c>
      <c r="X99" s="2">
        <v>11511278000000</v>
      </c>
      <c r="Y99" s="2">
        <v>9668608000000</v>
      </c>
    </row>
    <row r="100">
      <c r="B100" t="str">
        <v>Penempatan Pada Bank Indo...</v>
      </c>
      <c r="C100" s="2">
        <v>27341419000000</v>
      </c>
      <c r="D100" s="2">
        <v>9813541000000</v>
      </c>
      <c r="E100" s="2">
        <v>11291795000000</v>
      </c>
      <c r="F100" s="2">
        <v>24418295000000</v>
      </c>
      <c r="H100" s="2">
        <v>9813541000000</v>
      </c>
      <c r="I100" s="2">
        <v>15714884000000</v>
      </c>
      <c r="J100" s="2">
        <v>5201661000000</v>
      </c>
      <c r="K100" s="2">
        <v>31377152000000</v>
      </c>
      <c r="L100" s="2">
        <v>87149005000000</v>
      </c>
      <c r="M100" s="2">
        <v>47450890000000</v>
      </c>
      <c r="N100" s="2">
        <v>30948274000000</v>
      </c>
      <c r="O100" s="2">
        <v>31682811000000</v>
      </c>
      <c r="P100" s="2">
        <v>18969682000000</v>
      </c>
      <c r="Q100" s="2">
        <v>35363890000000</v>
      </c>
      <c r="R100" s="2">
        <v>56259099000000</v>
      </c>
      <c r="S100" s="2">
        <v>11502178000000</v>
      </c>
      <c r="T100" s="2">
        <v>12254043000000</v>
      </c>
      <c r="U100" s="2">
        <v>28802130000000</v>
      </c>
      <c r="V100" s="2">
        <v>43010506000000</v>
      </c>
      <c r="W100" s="2">
        <v>61326849000000</v>
      </c>
      <c r="X100" s="2">
        <v>5259335000000</v>
      </c>
      <c r="Y100" s="2">
        <v>4936408000000</v>
      </c>
    </row>
    <row r="101">
      <c r="B101" t="str">
        <v>Others</v>
      </c>
      <c r="C101" s="2">
        <v>8754292000000</v>
      </c>
      <c r="D101" s="2">
        <v>11244262000000</v>
      </c>
      <c r="E101" s="2">
        <v>13070539000000</v>
      </c>
      <c r="F101" s="2">
        <v>12622429000000</v>
      </c>
      <c r="H101" s="2">
        <v>11244262000000</v>
      </c>
      <c r="I101" s="2">
        <v>11871284000000</v>
      </c>
      <c r="J101" s="2">
        <v>12308976000000</v>
      </c>
      <c r="K101" s="2">
        <v>12969833000000</v>
      </c>
      <c r="L101" s="2">
        <v>16042726000000</v>
      </c>
      <c r="M101" s="2">
        <v>16966716000000</v>
      </c>
      <c r="N101" s="2">
        <v>11838868000000</v>
      </c>
      <c r="O101" s="2">
        <v>9000908000000</v>
      </c>
      <c r="P101" s="2">
        <v>8215318000000</v>
      </c>
      <c r="Q101" s="2">
        <v>6824407000000</v>
      </c>
      <c r="R101" s="2">
        <v>268866000000</v>
      </c>
      <c r="S101" s="2">
        <v>245586000000</v>
      </c>
      <c r="T101" s="2">
        <v>-167915000000</v>
      </c>
      <c r="U101" s="2">
        <v>355230000000</v>
      </c>
      <c r="V101" s="2">
        <v>-15829000000</v>
      </c>
      <c r="W101" s="2">
        <v>142953000000</v>
      </c>
      <c r="X101" s="2">
        <v>-167461000000</v>
      </c>
      <c r="Y101" s="2">
        <v>-495953000000</v>
      </c>
    </row>
    <row r="102">
      <c r="B102" t="str">
        <v>Total Penempatan Pada B...</v>
      </c>
      <c r="C102" s="2">
        <v>27341419000000</v>
      </c>
      <c r="D102" s="2">
        <v>9813541000000</v>
      </c>
      <c r="E102" s="2">
        <v>11291795000000</v>
      </c>
      <c r="F102" s="2">
        <v>24418295000000</v>
      </c>
      <c r="H102" s="2">
        <v>9813541000000</v>
      </c>
      <c r="I102" s="2">
        <v>15714884000000</v>
      </c>
      <c r="J102" s="2">
        <v>5201661000000</v>
      </c>
      <c r="K102" s="2">
        <v>31377152000000</v>
      </c>
      <c r="L102" s="2">
        <v>87149005000000</v>
      </c>
      <c r="M102" s="2">
        <v>47450890000000</v>
      </c>
      <c r="N102" s="2">
        <v>30948274000000</v>
      </c>
      <c r="O102" s="2">
        <v>31682811000000</v>
      </c>
      <c r="P102" s="2">
        <v>18969682000000</v>
      </c>
      <c r="Q102" s="2">
        <v>35363890000000</v>
      </c>
      <c r="R102" s="2">
        <v>56259099000000</v>
      </c>
      <c r="S102" s="2">
        <v>11502178000000</v>
      </c>
      <c r="T102" s="2">
        <v>12254043000000</v>
      </c>
      <c r="U102" s="2">
        <v>28802130000000</v>
      </c>
      <c r="V102" s="2">
        <v>43010506000000</v>
      </c>
      <c r="W102" s="2">
        <v>61326849000000</v>
      </c>
      <c r="X102" s="2">
        <v>5259335000000</v>
      </c>
      <c r="Y102" s="2">
        <v>4936408000000</v>
      </c>
    </row>
    <row r="103">
      <c r="B103" t="str">
        <v>Obligasi Pemerintah</v>
      </c>
      <c r="V103" s="2">
        <v>33459395000000</v>
      </c>
      <c r="W103" s="2">
        <v>40698422000000</v>
      </c>
      <c r="X103" s="2">
        <v>42494673000000</v>
      </c>
      <c r="Y103" s="2">
        <v>39810702000000</v>
      </c>
    </row>
    <row r="104">
      <c r="B104" t="str">
        <v>Pinjaman Yang Diberikan</v>
      </c>
    </row>
    <row r="105">
      <c r="B105" t="str">
        <v>Pihak Berelasi</v>
      </c>
      <c r="E105" s="2">
        <v>2665627000000</v>
      </c>
      <c r="F105" s="2">
        <v>3025662000000</v>
      </c>
      <c r="I105" s="2">
        <v>3235633000000</v>
      </c>
      <c r="J105" s="2">
        <v>2639237000000</v>
      </c>
      <c r="K105" s="2">
        <v>2412327000000</v>
      </c>
      <c r="L105" s="2">
        <v>2730363000000</v>
      </c>
      <c r="M105" s="2">
        <v>1628726000000</v>
      </c>
      <c r="N105" s="2">
        <v>1326903000000</v>
      </c>
      <c r="O105" s="2">
        <v>2489190000000</v>
      </c>
      <c r="P105" s="2">
        <v>3290867000000</v>
      </c>
      <c r="Q105" s="2">
        <v>8099416000000</v>
      </c>
      <c r="R105" s="2">
        <v>1227133000000</v>
      </c>
      <c r="S105" s="2">
        <v>1119576000000</v>
      </c>
      <c r="T105" s="2">
        <v>987860000000</v>
      </c>
      <c r="U105" s="2">
        <v>1484745000000</v>
      </c>
      <c r="V105" s="2">
        <v>836835000000</v>
      </c>
      <c r="W105" s="2">
        <v>36609000000</v>
      </c>
      <c r="X105" s="2">
        <v>49125000000</v>
      </c>
      <c r="Y105" s="2">
        <v>41489000000</v>
      </c>
    </row>
    <row r="106">
      <c r="B106" t="str">
        <v>Pihak Ketiga</v>
      </c>
      <c r="C106" s="2">
        <v>1276408911000000</v>
      </c>
      <c r="D106" s="2">
        <v>1233799081000000</v>
      </c>
      <c r="E106" s="2">
        <v>1187998510000000</v>
      </c>
      <c r="F106" s="2">
        <v>1172944383000000</v>
      </c>
      <c r="H106" s="2">
        <v>1233799081000000</v>
      </c>
      <c r="I106" s="2">
        <v>1117378034000000</v>
      </c>
      <c r="J106" s="2">
        <v>1088127570000000</v>
      </c>
      <c r="K106" s="2">
        <v>1028039456000000</v>
      </c>
      <c r="L106" s="2">
        <v>965876381000000</v>
      </c>
      <c r="M106" s="2">
        <v>832655117000000</v>
      </c>
      <c r="N106" s="2">
        <v>697653165000000</v>
      </c>
      <c r="O106" s="2">
        <v>627322827000000</v>
      </c>
      <c r="P106" s="2">
        <v>577824575000000</v>
      </c>
      <c r="Q106" s="2">
        <v>522034209000000</v>
      </c>
      <c r="R106" s="2">
        <v>472439082000000</v>
      </c>
      <c r="S106" s="2">
        <v>446786180000000</v>
      </c>
      <c r="T106" s="2">
        <v>408497903000000</v>
      </c>
      <c r="U106" s="2">
        <v>368789454000000</v>
      </c>
      <c r="V106" s="2">
        <v>322590757000000</v>
      </c>
      <c r="W106" s="2">
        <v>277494026000000</v>
      </c>
      <c r="X106" s="2">
        <v>245090821000000</v>
      </c>
      <c r="Y106" s="2">
        <v>209487432000000</v>
      </c>
    </row>
    <row r="107">
      <c r="B107" t="str">
        <v>Total Pinjaman Yang Dib...</v>
      </c>
      <c r="C107" s="2">
        <v>940174398000000</v>
      </c>
      <c r="D107" s="2">
        <v>940481200000000</v>
      </c>
      <c r="E107" s="2">
        <v>890532271000000</v>
      </c>
      <c r="F107" s="2">
        <v>905034168000000</v>
      </c>
      <c r="H107" s="2">
        <v>940481200000000</v>
      </c>
      <c r="I107" s="2">
        <v>868686210000000</v>
      </c>
      <c r="J107" s="2">
        <v>758887839000000</v>
      </c>
      <c r="K107" s="2">
        <v>660989004000000</v>
      </c>
      <c r="L107" s="2">
        <v>589813578000000</v>
      </c>
      <c r="M107" s="2">
        <v>547643666000000</v>
      </c>
      <c r="N107" s="2">
        <v>572033999000000</v>
      </c>
      <c r="O107" s="2">
        <v>524530462000000</v>
      </c>
      <c r="P107" s="2">
        <v>454264956000000</v>
      </c>
      <c r="Q107" s="2">
        <v>403391221000000</v>
      </c>
      <c r="R107" s="2">
        <v>378616292000000</v>
      </c>
      <c r="S107" s="2">
        <v>339859068000000</v>
      </c>
      <c r="T107" s="2">
        <v>306679132000000</v>
      </c>
      <c r="U107" s="2">
        <v>252760457000000</v>
      </c>
      <c r="V107" s="2">
        <v>198440354000000</v>
      </c>
      <c r="W107" s="2">
        <v>150016746000000</v>
      </c>
      <c r="X107" s="2">
        <v>119595661000000</v>
      </c>
      <c r="Y107" s="2">
        <v>110026861000000</v>
      </c>
    </row>
    <row r="108">
      <c r="B108" t="str">
        <v>Piutang Pembiayaan Konsum...</v>
      </c>
      <c r="C108" s="2">
        <v>9342582000000</v>
      </c>
      <c r="D108" s="2">
        <v>8953987000000</v>
      </c>
      <c r="E108" s="2">
        <v>9365514000000</v>
      </c>
      <c r="F108" s="2">
        <v>9207657000000</v>
      </c>
      <c r="H108" s="2">
        <v>8953987000000</v>
      </c>
      <c r="I108" s="2">
        <v>9435564000000</v>
      </c>
      <c r="J108" s="2">
        <v>8713450000000</v>
      </c>
      <c r="K108" s="2">
        <v>8215427000000</v>
      </c>
      <c r="L108" s="2">
        <v>7855976000000</v>
      </c>
      <c r="M108" s="2">
        <v>7605934000000</v>
      </c>
      <c r="N108" s="2">
        <v>10532424000000</v>
      </c>
      <c r="O108" s="2">
        <v>7613709000000</v>
      </c>
      <c r="P108" s="2">
        <v>8506983000000</v>
      </c>
      <c r="Q108" s="2">
        <v>8207469000000</v>
      </c>
      <c r="R108" s="2">
        <v>7407519000000</v>
      </c>
      <c r="S108" s="2">
        <v>6973228000000</v>
      </c>
      <c r="T108" s="2">
        <v>5229338000000</v>
      </c>
      <c r="U108" s="2">
        <v>4487552000000</v>
      </c>
      <c r="V108" s="2">
        <v>3498699000000</v>
      </c>
      <c r="W108" s="2">
        <v>2973425000000</v>
      </c>
      <c r="X108" s="2">
        <v>1902262000000</v>
      </c>
      <c r="Y108" s="2">
        <v>1409286000000</v>
      </c>
    </row>
    <row r="109">
      <c r="B109" t="str">
        <v>Aset Tetap</v>
      </c>
      <c r="C109" s="2">
        <v>28095487000000</v>
      </c>
      <c r="D109" s="2">
        <v>28473684000000</v>
      </c>
      <c r="E109" s="2">
        <v>27489802000000</v>
      </c>
      <c r="F109" s="2">
        <v>27789091000000</v>
      </c>
      <c r="H109" s="2">
        <v>28473684000000</v>
      </c>
      <c r="I109" s="2">
        <v>28250624000000</v>
      </c>
      <c r="J109" s="2">
        <v>26824744000000</v>
      </c>
      <c r="K109" s="2">
        <v>24709372000000</v>
      </c>
      <c r="L109" s="2">
        <v>22169299000000</v>
      </c>
      <c r="M109" s="2">
        <v>21915054000000</v>
      </c>
      <c r="N109" s="2">
        <v>20852301000000</v>
      </c>
      <c r="O109" s="2">
        <v>19336901000000</v>
      </c>
      <c r="P109" s="2">
        <v>16868949000000</v>
      </c>
      <c r="Q109" s="2">
        <v>16990835000000</v>
      </c>
      <c r="R109" s="2">
        <v>9712021000000</v>
      </c>
      <c r="S109" s="2">
        <v>8844930000000</v>
      </c>
      <c r="T109" s="2">
        <v>7440017000000</v>
      </c>
      <c r="U109" s="2">
        <v>6406625000000</v>
      </c>
      <c r="V109" s="2">
        <v>4144659000000</v>
      </c>
      <c r="W109" s="2">
        <v>3406957000000</v>
      </c>
      <c r="X109" s="2">
        <v>1046739000000</v>
      </c>
      <c r="Y109" s="2">
        <v>770686000000</v>
      </c>
    </row>
    <row r="110">
      <c r="B110" t="str">
        <v>Aset Pajak Tangguhan</v>
      </c>
      <c r="C110" s="2">
        <v>5607614000000</v>
      </c>
      <c r="D110" s="2">
        <v>5852206000000</v>
      </c>
      <c r="E110" s="2">
        <v>5420532000000</v>
      </c>
      <c r="F110" s="2">
        <v>4790811000000</v>
      </c>
      <c r="H110" s="2">
        <v>5852206000000</v>
      </c>
      <c r="I110" s="2">
        <v>5495208000000</v>
      </c>
      <c r="J110" s="2">
        <v>7451236000000</v>
      </c>
      <c r="K110" s="2">
        <v>7321331000000</v>
      </c>
      <c r="L110" s="2">
        <v>5525516000000</v>
      </c>
      <c r="M110" s="2">
        <v>4880722000000</v>
      </c>
      <c r="N110" s="2">
        <v>3184290000000</v>
      </c>
      <c r="O110" s="2">
        <v>3147666000000</v>
      </c>
      <c r="P110" s="2">
        <v>3219241000000</v>
      </c>
      <c r="Q110" s="2">
        <v>3548734000000</v>
      </c>
      <c r="R110" s="2">
        <v>3225988000000</v>
      </c>
      <c r="S110" s="2">
        <v>1962039000000</v>
      </c>
      <c r="T110" s="2">
        <v>1779493000000</v>
      </c>
      <c r="U110" s="2">
        <v>919802000000</v>
      </c>
      <c r="V110" s="2">
        <v>798382000000</v>
      </c>
      <c r="W110" s="2">
        <v>951767000000</v>
      </c>
      <c r="X110" s="2">
        <v>2971269000000</v>
      </c>
      <c r="Y110" s="2">
        <v>2644785000000</v>
      </c>
    </row>
    <row r="111">
      <c r="B111" t="str">
        <v>Aset Tak Berwujud</v>
      </c>
      <c r="C111" s="2">
        <v>1735904000000</v>
      </c>
      <c r="D111" s="2">
        <v>1778772000000</v>
      </c>
      <c r="E111" s="2">
        <v>1738924000000</v>
      </c>
      <c r="F111" s="2">
        <v>1748817000000</v>
      </c>
      <c r="H111" s="2">
        <v>1778772000000</v>
      </c>
      <c r="I111" s="2">
        <v>1805639000000</v>
      </c>
      <c r="J111" s="2">
        <v>1564773000000</v>
      </c>
      <c r="K111" s="2">
        <v>1567120000000</v>
      </c>
      <c r="L111" s="2">
        <v>1582292000000</v>
      </c>
      <c r="M111" s="2">
        <v>1629620000000</v>
      </c>
      <c r="N111" s="2">
        <v>1377452000000</v>
      </c>
      <c r="O111" s="2">
        <v>679331000000</v>
      </c>
    </row>
    <row r="112">
      <c r="B112" t="str">
        <v>Total Aset</v>
      </c>
      <c r="C112" s="2">
        <v>1640830566000000</v>
      </c>
      <c r="D112" s="2">
        <v>1586828536000000</v>
      </c>
      <c r="E112" s="2">
        <v>1538501812000000</v>
      </c>
      <c r="F112" s="2">
        <v>1504118975000000</v>
      </c>
      <c r="H112" s="2">
        <v>1586828536000000</v>
      </c>
      <c r="I112" s="2">
        <v>1449301328000000</v>
      </c>
      <c r="J112" s="2">
        <v>1408107010000000</v>
      </c>
      <c r="K112" s="2">
        <v>1314731674000000</v>
      </c>
      <c r="L112" s="2">
        <v>1228344680000000</v>
      </c>
      <c r="M112" s="2">
        <v>1075570256000000</v>
      </c>
      <c r="N112" s="2">
        <v>918989312000000</v>
      </c>
      <c r="O112" s="2">
        <v>824787944000000</v>
      </c>
      <c r="P112" s="2">
        <v>750319671000000</v>
      </c>
      <c r="Q112" s="2">
        <v>676738753000000</v>
      </c>
      <c r="R112" s="2">
        <v>594372770000000</v>
      </c>
      <c r="S112" s="2">
        <v>552423892000000</v>
      </c>
      <c r="T112" s="2">
        <v>496304573000000</v>
      </c>
      <c r="U112" s="2">
        <v>442994197000000</v>
      </c>
      <c r="V112" s="2">
        <v>381908353000000</v>
      </c>
      <c r="W112" s="2">
        <v>324419069000000</v>
      </c>
      <c r="X112" s="2">
        <v>282392294000000</v>
      </c>
      <c r="Y112" s="2">
        <v>245569856000000</v>
      </c>
    </row>
    <row r="113">
      <c r="B113" t="str">
        <v>Liabilitas Dan Ekuitas</v>
      </c>
    </row>
    <row r="114">
      <c r="B114" t="str">
        <v>Liabilitas</v>
      </c>
    </row>
    <row r="115">
      <c r="B115" t="str">
        <v>Liabilitas Segera</v>
      </c>
      <c r="V115" s="2">
        <v>1989624000000</v>
      </c>
      <c r="W115" s="2">
        <v>1005633000000</v>
      </c>
      <c r="X115" s="2">
        <v>841266000000</v>
      </c>
      <c r="Y115" s="2">
        <v>1121603000000</v>
      </c>
    </row>
    <row r="116">
      <c r="B116" t="str">
        <v>Simpanan Nasabah</v>
      </c>
      <c r="C116" s="2">
        <v>1276408911000000</v>
      </c>
      <c r="D116" s="2">
        <v>1233799081000000</v>
      </c>
      <c r="E116" s="2">
        <v>1190664137000000</v>
      </c>
      <c r="F116" s="2">
        <v>1175970045000000</v>
      </c>
      <c r="H116" s="2">
        <v>1233799081000000</v>
      </c>
      <c r="I116" s="2">
        <v>1120613667000000</v>
      </c>
      <c r="J116" s="2">
        <v>1090766807000000</v>
      </c>
      <c r="K116" s="2">
        <v>1030451783000000</v>
      </c>
      <c r="L116" s="2">
        <v>968606744000000</v>
      </c>
      <c r="M116" s="2">
        <v>834283843000000</v>
      </c>
      <c r="N116" s="2">
        <v>698980068000000</v>
      </c>
      <c r="O116" s="2">
        <v>629812017000000</v>
      </c>
      <c r="P116" s="2">
        <v>581115442000000</v>
      </c>
      <c r="Q116" s="2">
        <v>530133625000000</v>
      </c>
      <c r="R116" s="2">
        <v>473666215000000</v>
      </c>
      <c r="S116" s="2">
        <v>447905756000000</v>
      </c>
      <c r="T116" s="2">
        <v>409485763000000</v>
      </c>
      <c r="U116" s="2">
        <v>370274199000000</v>
      </c>
      <c r="V116" s="2">
        <v>323427592000000</v>
      </c>
      <c r="W116" s="2">
        <v>277530635000000</v>
      </c>
      <c r="X116" s="2">
        <v>245139946000000</v>
      </c>
      <c r="Y116" s="2">
        <v>209528921000000</v>
      </c>
    </row>
    <row r="117">
      <c r="B117" t="str">
        <v>Total Simpanan Nasabah</v>
      </c>
      <c r="C117" s="2">
        <v>1276408911000000</v>
      </c>
      <c r="D117" s="2">
        <v>1233799081000000</v>
      </c>
      <c r="E117" s="2">
        <v>1190664137000000</v>
      </c>
      <c r="F117" s="2">
        <v>1175970045000000</v>
      </c>
      <c r="H117" s="2">
        <v>1233799081000000</v>
      </c>
      <c r="I117" s="2">
        <v>1120613667000000</v>
      </c>
      <c r="J117" s="2">
        <v>1090766807000000</v>
      </c>
      <c r="K117" s="2">
        <v>1030451783000000</v>
      </c>
      <c r="L117" s="2">
        <v>968606744000000</v>
      </c>
      <c r="M117" s="2">
        <v>834283843000000</v>
      </c>
      <c r="N117" s="2">
        <v>698980068000000</v>
      </c>
      <c r="O117" s="2">
        <v>629812017000000</v>
      </c>
      <c r="P117" s="2">
        <v>581115442000000</v>
      </c>
      <c r="Q117" s="2">
        <v>530133625000000</v>
      </c>
      <c r="R117" s="2">
        <v>473666215000000</v>
      </c>
      <c r="S117" s="2">
        <v>447905756000000</v>
      </c>
      <c r="T117" s="2">
        <v>409485763000000</v>
      </c>
      <c r="U117" s="2">
        <v>370274199000000</v>
      </c>
      <c r="V117" s="2">
        <v>323427592000000</v>
      </c>
      <c r="W117" s="2">
        <v>277530635000000</v>
      </c>
      <c r="X117" s="2">
        <v>245139946000000</v>
      </c>
      <c r="Y117" s="2">
        <v>209528921000000</v>
      </c>
    </row>
    <row r="118">
      <c r="B118" t="str">
        <v>Liabilitas Bank Lain</v>
      </c>
    </row>
    <row r="119">
      <c r="B119" t="str">
        <v>Simpanan Dari Bank Lain</v>
      </c>
      <c r="C119" s="2">
        <v>4297657000000</v>
      </c>
      <c r="D119" s="2">
        <v>3966077000000</v>
      </c>
      <c r="E119" s="2">
        <v>5470047000000</v>
      </c>
      <c r="F119" s="2">
        <v>3413438000000</v>
      </c>
      <c r="H119" s="2">
        <v>3966077000000</v>
      </c>
      <c r="I119" s="2">
        <v>3656298000000</v>
      </c>
      <c r="J119" s="2">
        <v>10070820000000</v>
      </c>
      <c r="K119" s="2">
        <v>7936206000000</v>
      </c>
      <c r="L119" s="2">
        <v>10017194000000</v>
      </c>
      <c r="M119" s="2">
        <v>10163163000000</v>
      </c>
      <c r="N119" s="2">
        <v>6717474000000</v>
      </c>
      <c r="O119" s="2">
        <v>6494491000000</v>
      </c>
      <c r="P119" s="2">
        <v>5758414000000</v>
      </c>
      <c r="Q119" s="2">
        <v>4900942000000</v>
      </c>
      <c r="R119" s="2">
        <v>4156053000000</v>
      </c>
      <c r="S119" s="2">
        <v>3754260000000</v>
      </c>
      <c r="T119" s="2">
        <v>3301039000000</v>
      </c>
      <c r="U119" s="2">
        <v>2330295000000</v>
      </c>
      <c r="V119" s="2">
        <v>3466962000000</v>
      </c>
      <c r="W119" s="2">
        <v>2896477000000</v>
      </c>
      <c r="X119" s="2">
        <v>2488707000000</v>
      </c>
      <c r="Y119" s="2">
        <v>4048142000000</v>
      </c>
    </row>
    <row r="120">
      <c r="B120" t="str">
        <v>Liabilitas Akseptasi</v>
      </c>
      <c r="C120" s="2">
        <v>4375567000000</v>
      </c>
      <c r="D120" s="2">
        <v>4733862000000</v>
      </c>
      <c r="E120" s="2">
        <v>5413791000000</v>
      </c>
      <c r="F120" s="2">
        <v>5455839000000</v>
      </c>
      <c r="H120" s="2">
        <v>4733862000000</v>
      </c>
      <c r="I120" s="2">
        <v>4651955000000</v>
      </c>
      <c r="J120" s="2">
        <v>6701256000000</v>
      </c>
      <c r="K120" s="2">
        <v>9666648000000</v>
      </c>
      <c r="L120" s="2">
        <v>6644294000000</v>
      </c>
      <c r="M120" s="2">
        <v>4400045000000</v>
      </c>
      <c r="N120" s="2">
        <v>5321249000000</v>
      </c>
      <c r="O120" s="2">
        <v>5843486000000</v>
      </c>
      <c r="P120" s="2">
        <v>5800477000000</v>
      </c>
      <c r="Q120" s="2">
        <v>4187148000000</v>
      </c>
      <c r="R120" s="2">
        <v>4374939000000</v>
      </c>
      <c r="S120" s="2">
        <v>4697946000000</v>
      </c>
      <c r="T120" s="2">
        <v>4539442000000</v>
      </c>
      <c r="U120" s="2">
        <v>5839495000000</v>
      </c>
      <c r="V120" s="2">
        <v>4043322000000</v>
      </c>
      <c r="W120" s="2">
        <v>2550557000000</v>
      </c>
      <c r="X120" s="2">
        <v>2031512000000</v>
      </c>
      <c r="Y120" s="2">
        <v>3109382000000</v>
      </c>
    </row>
    <row r="121">
      <c r="B121" t="str">
        <v>Surat Berharga Yang Dite...</v>
      </c>
      <c r="C121" s="2">
        <v>51324000000</v>
      </c>
      <c r="L121" s="2">
        <v>482149000000</v>
      </c>
      <c r="M121" s="2">
        <v>590821000000</v>
      </c>
      <c r="N121" s="2">
        <v>1347523000000</v>
      </c>
      <c r="O121" s="2">
        <v>239735000000</v>
      </c>
      <c r="P121" s="2">
        <v>610499000000</v>
      </c>
      <c r="Q121" s="2">
        <v>2332171000000</v>
      </c>
      <c r="R121" s="2">
        <v>2820965000000</v>
      </c>
      <c r="S121" s="2">
        <v>2503900000000</v>
      </c>
      <c r="T121" s="2">
        <v>3132847000000</v>
      </c>
      <c r="U121" s="2">
        <v>2521877000000</v>
      </c>
      <c r="V121" s="2">
        <v>1481018000000</v>
      </c>
      <c r="W121" s="2">
        <v>1119782000000</v>
      </c>
      <c r="X121" s="2">
        <v>425947000000</v>
      </c>
      <c r="Y121" s="2">
        <v>535742000000</v>
      </c>
    </row>
    <row r="122">
      <c r="B122" t="str">
        <v>Pinjaman Yang Diterima</v>
      </c>
      <c r="C122" s="2">
        <v>2027630000000</v>
      </c>
      <c r="D122" s="2">
        <v>2047436000000</v>
      </c>
      <c r="E122" s="2">
        <v>870646000000</v>
      </c>
      <c r="F122" s="2">
        <v>1014507000000</v>
      </c>
      <c r="H122" s="2">
        <v>2047436000000</v>
      </c>
      <c r="I122" s="2">
        <v>2242516000000</v>
      </c>
      <c r="J122" s="2">
        <v>1629626000000</v>
      </c>
      <c r="K122" s="2">
        <v>1316951000000</v>
      </c>
      <c r="L122" s="2">
        <v>976225000000</v>
      </c>
      <c r="M122" s="2">
        <v>1307298000000</v>
      </c>
      <c r="N122" s="2">
        <v>2332870000000</v>
      </c>
      <c r="O122" s="2">
        <v>2093475000000</v>
      </c>
      <c r="P122" s="2">
        <v>3040602000000</v>
      </c>
      <c r="Q122" s="2">
        <v>2788552000000</v>
      </c>
      <c r="R122" s="2">
        <v>1743337000000</v>
      </c>
      <c r="S122" s="2">
        <v>3080942000000</v>
      </c>
      <c r="T122" s="2">
        <v>500952000000</v>
      </c>
      <c r="U122" s="2">
        <v>128018000000</v>
      </c>
      <c r="V122" s="2">
        <v>449188000000</v>
      </c>
      <c r="W122" s="2">
        <v>448721000000</v>
      </c>
      <c r="X122" s="2">
        <v>730333000000</v>
      </c>
      <c r="Y122" s="2">
        <v>448325000000</v>
      </c>
    </row>
    <row r="123">
      <c r="B123" t="str">
        <v>Liabilitas Pajak Tangguh...</v>
      </c>
      <c r="K123" s="2">
        <v>9740000000</v>
      </c>
      <c r="M123" s="2">
        <v>5957000000</v>
      </c>
    </row>
    <row r="124">
      <c r="B124" t="str">
        <v>Obligasi Subordinasi</v>
      </c>
      <c r="C124" s="2">
        <v>65000000000</v>
      </c>
      <c r="D124" s="2">
        <v>65000000000</v>
      </c>
      <c r="E124" s="2">
        <v>65000000000</v>
      </c>
      <c r="F124" s="2">
        <v>500000000000</v>
      </c>
      <c r="H124" s="2">
        <v>65000000000</v>
      </c>
      <c r="I124" s="2">
        <v>500000000000</v>
      </c>
      <c r="J124" s="2">
        <v>500000000000</v>
      </c>
      <c r="K124" s="2">
        <v>500000000000</v>
      </c>
      <c r="L124" s="2">
        <v>500000000000</v>
      </c>
      <c r="M124" s="2">
        <v>500000000000</v>
      </c>
      <c r="N124" s="2">
        <v>500000000000</v>
      </c>
      <c r="O124" s="2">
        <v>500000000000</v>
      </c>
    </row>
    <row r="125">
      <c r="B125" t="str">
        <v>Dana Syirkah Temporer</v>
      </c>
      <c r="C125" s="2">
        <v>11111526000000</v>
      </c>
      <c r="D125" s="2">
        <v>10632695000000</v>
      </c>
      <c r="E125" s="2">
        <v>10009286000000</v>
      </c>
      <c r="F125" s="2">
        <v>9238092000000</v>
      </c>
      <c r="H125" s="2">
        <v>10632695000000</v>
      </c>
      <c r="I125" s="2">
        <v>9063133000000</v>
      </c>
      <c r="J125" s="2">
        <v>7893872000000</v>
      </c>
      <c r="K125" s="2">
        <v>6440375000000</v>
      </c>
      <c r="L125" s="2">
        <v>5721988000000</v>
      </c>
      <c r="M125" s="2">
        <v>5317628000000</v>
      </c>
      <c r="N125" s="2">
        <v>4779029000000</v>
      </c>
      <c r="O125" s="2">
        <v>4595738000000</v>
      </c>
      <c r="P125" s="2">
        <v>3977715000000</v>
      </c>
      <c r="Q125" s="2">
        <v>3467007000000</v>
      </c>
      <c r="R125" s="2">
        <v>2802406000000</v>
      </c>
      <c r="S125" s="2">
        <v>1952498000000</v>
      </c>
      <c r="T125" s="2">
        <v>1443902000000</v>
      </c>
      <c r="U125" s="2">
        <v>1029011000000</v>
      </c>
      <c r="V125" s="2">
        <v>715507000000</v>
      </c>
      <c r="W125" s="2">
        <v>460165000000</v>
      </c>
    </row>
    <row r="126">
      <c r="B126" t="str">
        <v>Total Liabilitas</v>
      </c>
      <c r="C126" s="2">
        <v>1381471773000000</v>
      </c>
      <c r="D126" s="2">
        <v>1305140981000000</v>
      </c>
      <c r="E126" s="2">
        <v>1261866404000000</v>
      </c>
      <c r="F126" s="2">
        <v>1242318069000000</v>
      </c>
      <c r="H126" s="2">
        <v>1305140981000000</v>
      </c>
      <c r="I126" s="2">
        <v>1186466241000000</v>
      </c>
      <c r="J126" s="2">
        <v>1165569417000000</v>
      </c>
      <c r="K126" s="2">
        <v>1093550019000000</v>
      </c>
      <c r="L126" s="2">
        <v>1025495746000000</v>
      </c>
      <c r="M126" s="2">
        <v>890855547000000</v>
      </c>
      <c r="N126" s="2">
        <v>744846156000000</v>
      </c>
      <c r="O126" s="2">
        <v>673034517000000</v>
      </c>
      <c r="P126" s="2">
        <v>618917977000000</v>
      </c>
      <c r="Q126" s="2">
        <v>564023694000000</v>
      </c>
      <c r="R126" s="2">
        <v>504747830000000</v>
      </c>
      <c r="S126" s="2">
        <v>474503275000000</v>
      </c>
      <c r="T126" s="2">
        <v>432337895000000</v>
      </c>
      <c r="U126" s="2">
        <v>391096255000000</v>
      </c>
      <c r="V126" s="2">
        <v>339881013000000</v>
      </c>
      <c r="W126" s="2">
        <v>290311225000000</v>
      </c>
      <c r="X126" s="2">
        <v>254535601000000</v>
      </c>
      <c r="Y126" s="2">
        <v>222290546000000</v>
      </c>
    </row>
    <row r="127">
      <c r="B127" t="str">
        <v>Ekuitas</v>
      </c>
    </row>
    <row r="128">
      <c r="B128" t="str">
        <v>Modal Saham</v>
      </c>
      <c r="C128" s="2">
        <v>1540938000000</v>
      </c>
      <c r="D128" s="2">
        <v>1540938000000</v>
      </c>
      <c r="E128" s="2">
        <v>1540938000000</v>
      </c>
      <c r="F128" s="2">
        <v>1540938000000</v>
      </c>
      <c r="H128" s="2">
        <v>1540938000000</v>
      </c>
      <c r="I128" s="2">
        <v>1540938000000</v>
      </c>
      <c r="J128" s="2">
        <v>1540938000000</v>
      </c>
      <c r="K128" s="2">
        <v>1540938000000</v>
      </c>
      <c r="L128" s="2">
        <v>1540938000000</v>
      </c>
      <c r="M128" s="2">
        <v>1540938000000</v>
      </c>
      <c r="N128" s="2">
        <v>1540938000000</v>
      </c>
      <c r="O128" s="2">
        <v>1540938000000</v>
      </c>
      <c r="P128" s="2">
        <v>1540938000000</v>
      </c>
      <c r="Q128" s="2">
        <v>1540938000000</v>
      </c>
      <c r="R128" s="2">
        <v>1540938000000</v>
      </c>
      <c r="S128" s="2">
        <v>1540938000000</v>
      </c>
      <c r="T128" s="2">
        <v>1540938000000</v>
      </c>
      <c r="U128" s="2">
        <v>1540938000000</v>
      </c>
      <c r="V128" s="2">
        <v>1540938000000</v>
      </c>
      <c r="W128" s="2">
        <v>1540938000000</v>
      </c>
      <c r="X128" s="2">
        <v>1540938000000</v>
      </c>
      <c r="Y128" s="2">
        <v>1540938000000</v>
      </c>
    </row>
    <row r="129">
      <c r="B129" t="str">
        <v>Tambahan Modal Disetor</v>
      </c>
      <c r="C129" s="2">
        <v>5492318000000</v>
      </c>
      <c r="D129" s="2">
        <v>5492318000000</v>
      </c>
      <c r="E129" s="2">
        <v>5492318000000</v>
      </c>
      <c r="F129" s="2">
        <v>5548977000000</v>
      </c>
      <c r="H129" s="2">
        <v>5492318000000</v>
      </c>
      <c r="I129" s="2">
        <v>5548977000000</v>
      </c>
      <c r="J129" s="2">
        <v>5548977000000</v>
      </c>
      <c r="K129" s="2">
        <v>5548977000000</v>
      </c>
      <c r="L129" s="2">
        <v>5548977000000</v>
      </c>
      <c r="M129" s="2">
        <v>5548977000000</v>
      </c>
      <c r="N129" s="2">
        <v>5548977000000</v>
      </c>
      <c r="O129" s="2">
        <v>5548977000000</v>
      </c>
      <c r="P129" s="2">
        <v>5548977000000</v>
      </c>
      <c r="Q129" s="2">
        <v>5564552000000</v>
      </c>
      <c r="R129" s="2">
        <v>5564552000000</v>
      </c>
      <c r="S129" s="2">
        <v>5564552000000</v>
      </c>
      <c r="T129" s="2">
        <v>5564552000000</v>
      </c>
      <c r="U129" s="2">
        <v>4396429000000</v>
      </c>
      <c r="V129" s="2">
        <v>3895933000000</v>
      </c>
      <c r="W129" s="2">
        <v>3895933000000</v>
      </c>
      <c r="X129" s="2">
        <v>3895933000000</v>
      </c>
      <c r="Y129" s="2">
        <v>3895933000000</v>
      </c>
    </row>
    <row r="130">
      <c r="B130" t="str">
        <v>Saldo Laba</v>
      </c>
      <c r="C130" s="2">
        <v>243344859000000</v>
      </c>
      <c r="D130" s="2">
        <v>263188960000000</v>
      </c>
      <c r="E130" s="2">
        <v>256311865000000</v>
      </c>
      <c r="F130" s="2">
        <v>241883194000000</v>
      </c>
      <c r="H130" s="2">
        <v>263188960000000</v>
      </c>
      <c r="I130" s="2">
        <v>243679422000000</v>
      </c>
      <c r="J130" s="2">
        <v>222957365000000</v>
      </c>
      <c r="K130" s="2">
        <v>200958858000000</v>
      </c>
      <c r="L130" s="2">
        <v>179580121000000</v>
      </c>
      <c r="M130" s="2">
        <v>160539695000000</v>
      </c>
      <c r="N130" s="2">
        <v>155114148000000</v>
      </c>
      <c r="O130" s="2">
        <v>135568861000000</v>
      </c>
      <c r="P130" s="2">
        <v>115998322000000</v>
      </c>
      <c r="Q130" s="2">
        <v>98503180000000</v>
      </c>
      <c r="R130" s="2">
        <v>81995065000000</v>
      </c>
      <c r="S130" s="2">
        <v>70332010000000</v>
      </c>
      <c r="T130" s="2">
        <v>56928028000000</v>
      </c>
      <c r="U130" s="2">
        <v>45534178000000</v>
      </c>
      <c r="V130" s="2">
        <v>36581874000000</v>
      </c>
      <c r="W130" s="2">
        <v>28528020000000</v>
      </c>
      <c r="X130" s="2">
        <v>22587283000000</v>
      </c>
      <c r="Y130" s="2">
        <v>18338392000000</v>
      </c>
    </row>
    <row r="131">
      <c r="B131" t="str">
        <v>Telah Ditentukan Peng...</v>
      </c>
      <c r="C131" s="2">
        <v>4268903000000</v>
      </c>
      <c r="D131" s="2">
        <v>4268903000000</v>
      </c>
      <c r="E131" s="2">
        <v>4268903000000</v>
      </c>
      <c r="F131" s="2">
        <v>4268903000000</v>
      </c>
      <c r="H131" s="2">
        <v>4268903000000</v>
      </c>
      <c r="I131" s="2">
        <v>3720540000000</v>
      </c>
      <c r="J131" s="2">
        <v>3234149000000</v>
      </c>
      <c r="K131" s="2">
        <v>2826792000000</v>
      </c>
      <c r="L131" s="2">
        <v>2512565000000</v>
      </c>
      <c r="M131" s="2">
        <v>2241254000000</v>
      </c>
      <c r="N131" s="2">
        <v>1955604000000</v>
      </c>
      <c r="O131" s="2">
        <v>1697052000000</v>
      </c>
      <c r="P131" s="2">
        <v>1463952000000</v>
      </c>
      <c r="Q131" s="2">
        <v>1257895000000</v>
      </c>
      <c r="R131" s="2">
        <v>1077708000000</v>
      </c>
      <c r="S131" s="2">
        <v>912850000000</v>
      </c>
      <c r="T131" s="2">
        <v>770311000000</v>
      </c>
      <c r="U131" s="2">
        <v>653094000000</v>
      </c>
      <c r="V131" s="2">
        <v>544901000000</v>
      </c>
      <c r="W131" s="2">
        <v>460108000000</v>
      </c>
      <c r="X131" s="2">
        <v>392036000000</v>
      </c>
      <c r="Y131" s="2">
        <v>392036000000</v>
      </c>
    </row>
    <row r="132">
      <c r="B132" t="str">
        <v>Belum Ditentukan Peng...</v>
      </c>
      <c r="C132" s="2">
        <v>239075956000000</v>
      </c>
      <c r="D132" s="2">
        <v>258920057000000</v>
      </c>
      <c r="E132" s="2">
        <v>252042962000000</v>
      </c>
      <c r="F132" s="2">
        <v>237614291000000</v>
      </c>
      <c r="H132" s="2">
        <v>258920057000000</v>
      </c>
      <c r="I132" s="2">
        <v>239958882000000</v>
      </c>
      <c r="J132" s="2">
        <v>219723216000000</v>
      </c>
      <c r="K132" s="2">
        <v>198132066000000</v>
      </c>
      <c r="L132" s="2">
        <v>177067556000000</v>
      </c>
      <c r="M132" s="2">
        <v>158298441000000</v>
      </c>
      <c r="N132" s="2">
        <v>153158544000000</v>
      </c>
      <c r="O132" s="2">
        <v>133871809000000</v>
      </c>
      <c r="P132" s="2">
        <v>114534370000000</v>
      </c>
      <c r="Q132" s="2">
        <v>97245285000000</v>
      </c>
      <c r="R132" s="2">
        <v>80917357000000</v>
      </c>
      <c r="S132" s="2">
        <v>69419160000000</v>
      </c>
      <c r="T132" s="2">
        <v>56157717000000</v>
      </c>
      <c r="U132" s="2">
        <v>44881084000000</v>
      </c>
      <c r="V132" s="2">
        <v>36036973000000</v>
      </c>
      <c r="W132" s="2">
        <v>28067912000000</v>
      </c>
      <c r="X132" s="2">
        <v>22195247000000</v>
      </c>
      <c r="Y132" s="2">
        <v>17946356000000</v>
      </c>
    </row>
    <row r="133">
      <c r="B133" t="str">
        <v>Total Saldo Laba</v>
      </c>
      <c r="C133" s="2">
        <v>243344859000000</v>
      </c>
      <c r="D133" s="2">
        <v>263188960000000</v>
      </c>
      <c r="E133" s="2">
        <v>256311865000000</v>
      </c>
      <c r="F133" s="2">
        <v>241883194000000</v>
      </c>
      <c r="H133" s="2">
        <v>263188960000000</v>
      </c>
      <c r="I133" s="2">
        <v>243679422000000</v>
      </c>
      <c r="J133" s="2">
        <v>222957365000000</v>
      </c>
      <c r="K133" s="2">
        <v>200958858000000</v>
      </c>
      <c r="L133" s="2">
        <v>179580121000000</v>
      </c>
      <c r="M133" s="2">
        <v>160539695000000</v>
      </c>
      <c r="N133" s="2">
        <v>155114148000000</v>
      </c>
      <c r="O133" s="2">
        <v>135568861000000</v>
      </c>
      <c r="P133" s="2">
        <v>115998322000000</v>
      </c>
      <c r="Q133" s="2">
        <v>98503180000000</v>
      </c>
      <c r="R133" s="2">
        <v>81995065000000</v>
      </c>
      <c r="S133" s="2">
        <v>70332010000000</v>
      </c>
      <c r="T133" s="2">
        <v>56928028000000</v>
      </c>
      <c r="U133" s="2">
        <v>45534178000000</v>
      </c>
      <c r="V133" s="2">
        <v>36581874000000</v>
      </c>
      <c r="W133" s="2">
        <v>28528020000000</v>
      </c>
      <c r="X133" s="2">
        <v>22587283000000</v>
      </c>
      <c r="Y133" s="2">
        <v>18338392000000</v>
      </c>
    </row>
    <row r="134">
      <c r="B134" t="str">
        <v>Kepentingan Non Pengenda...</v>
      </c>
      <c r="C134" s="2">
        <v>226386000000</v>
      </c>
      <c r="D134" s="2">
        <v>221077000000</v>
      </c>
      <c r="E134" s="2">
        <v>219748000000</v>
      </c>
      <c r="F134" s="2">
        <v>205368000000</v>
      </c>
      <c r="H134" s="2">
        <v>221077000000</v>
      </c>
      <c r="I134" s="2">
        <v>194466000000</v>
      </c>
      <c r="J134" s="2">
        <v>181337000000</v>
      </c>
      <c r="K134" s="2">
        <v>163049000000</v>
      </c>
      <c r="L134" s="2">
        <v>136172000000</v>
      </c>
      <c r="M134" s="2">
        <v>118383000000</v>
      </c>
      <c r="N134" s="2">
        <v>100225000000</v>
      </c>
      <c r="O134" s="2">
        <v>93743000000</v>
      </c>
      <c r="P134" s="2">
        <v>98139000000</v>
      </c>
      <c r="Q134" s="2">
        <v>281982000000</v>
      </c>
      <c r="R134" s="2">
        <v>255519000000</v>
      </c>
      <c r="S134" s="2">
        <v>237531000000</v>
      </c>
      <c r="T134" s="2">
        <v>101075000000</v>
      </c>
      <c r="U134" s="2">
        <v>71167000000</v>
      </c>
      <c r="V134" s="2">
        <v>24424000000</v>
      </c>
    </row>
    <row r="135">
      <c r="B135" t="str">
        <v>Total Ekuitas</v>
      </c>
      <c r="C135" s="2">
        <v>259358793000000</v>
      </c>
      <c r="D135" s="2">
        <v>281687555000000</v>
      </c>
      <c r="E135" s="2">
        <v>276635408000000</v>
      </c>
      <c r="F135" s="2">
        <v>261800906000000</v>
      </c>
      <c r="H135" s="2">
        <v>281687555000000</v>
      </c>
      <c r="I135" s="2">
        <v>262835087000000</v>
      </c>
      <c r="J135" s="2">
        <v>242537593000000</v>
      </c>
      <c r="K135" s="2">
        <v>221181655000000</v>
      </c>
      <c r="L135" s="2">
        <v>202848934000000</v>
      </c>
      <c r="M135" s="2">
        <v>184714709000000</v>
      </c>
      <c r="N135" s="2">
        <v>174143156000000</v>
      </c>
      <c r="O135" s="2">
        <v>151753427000000</v>
      </c>
      <c r="P135" s="2">
        <v>131401694000000</v>
      </c>
      <c r="Q135" s="2">
        <v>112715059000000</v>
      </c>
      <c r="R135" s="2">
        <v>89624940000000</v>
      </c>
      <c r="S135" s="2">
        <v>77920617000000</v>
      </c>
      <c r="T135" s="2">
        <v>63966678000000</v>
      </c>
      <c r="U135" s="2">
        <v>51897942000000</v>
      </c>
      <c r="V135" s="2">
        <v>42027340000000</v>
      </c>
      <c r="W135" s="2">
        <v>34107844000000</v>
      </c>
      <c r="X135" s="2">
        <v>27856693000000</v>
      </c>
      <c r="Y135" s="2">
        <v>23279310000000</v>
      </c>
    </row>
    <row r="136">
      <c r="B136" t="str">
        <v>Total Liabilitas Dan Ekuitas</v>
      </c>
      <c r="C136" s="2">
        <v>1640830566000000</v>
      </c>
      <c r="D136" s="2">
        <v>1586828536000000</v>
      </c>
      <c r="E136" s="2">
        <v>1538501812000000</v>
      </c>
      <c r="F136" s="2">
        <v>1504118975000000</v>
      </c>
      <c r="H136" s="2">
        <v>1586828536000000</v>
      </c>
      <c r="I136" s="2">
        <v>1449301328000000</v>
      </c>
      <c r="J136" s="2">
        <v>1408107010000000</v>
      </c>
      <c r="K136" s="2">
        <v>1314731674000000</v>
      </c>
      <c r="L136" s="2">
        <v>1228344680000000</v>
      </c>
      <c r="M136" s="2">
        <v>1075570256000000</v>
      </c>
      <c r="N136" s="2">
        <v>918989312000000</v>
      </c>
      <c r="O136" s="2">
        <v>824787944000000</v>
      </c>
      <c r="P136" s="2">
        <v>750319671000000</v>
      </c>
      <c r="Q136" s="2">
        <v>676738753000000</v>
      </c>
      <c r="R136" s="2">
        <v>594372770000000</v>
      </c>
      <c r="S136" s="2">
        <v>552423892000000</v>
      </c>
      <c r="T136" s="2">
        <v>496304573000000</v>
      </c>
      <c r="U136" s="2">
        <v>442994197000000</v>
      </c>
      <c r="V136" s="2">
        <v>381908353000000</v>
      </c>
      <c r="W136" s="2">
        <v>324419069000000</v>
      </c>
      <c r="X136" s="2">
        <v>282392294000000</v>
      </c>
      <c r="Y136" s="2">
        <v>245569856000000</v>
      </c>
    </row>
    <row r="137">
      <c r="B137" t="str">
        <v>Saham Beredar</v>
      </c>
      <c r="C137" s="2">
        <v>123275050000</v>
      </c>
      <c r="D137" s="2">
        <v>123275050000</v>
      </c>
      <c r="E137" s="2">
        <v>123275050000</v>
      </c>
      <c r="F137" s="2">
        <v>123275050000</v>
      </c>
      <c r="H137" s="2">
        <v>123275050000</v>
      </c>
      <c r="I137" s="2">
        <v>123275050000</v>
      </c>
      <c r="J137" s="2">
        <v>123275050000</v>
      </c>
      <c r="K137" s="2">
        <v>123275050000</v>
      </c>
      <c r="L137" s="2">
        <v>123275050000</v>
      </c>
      <c r="M137" s="2">
        <v>24655010000</v>
      </c>
      <c r="N137" s="2">
        <v>24655010000</v>
      </c>
      <c r="O137" s="2">
        <v>24655010000</v>
      </c>
      <c r="P137" s="2">
        <v>24655010000</v>
      </c>
      <c r="Q137" s="2">
        <v>24655010000</v>
      </c>
      <c r="R137" s="2">
        <v>24655010000</v>
      </c>
      <c r="S137" s="2">
        <v>24655010000</v>
      </c>
      <c r="T137" s="2">
        <v>24655010000</v>
      </c>
      <c r="U137" s="2">
        <v>24655010000</v>
      </c>
      <c r="V137" s="2">
        <v>24655010000</v>
      </c>
      <c r="W137" s="2">
        <v>24655010000</v>
      </c>
      <c r="X137" s="2">
        <v>24655010000</v>
      </c>
      <c r="Y137" s="2">
        <v>24655010000</v>
      </c>
    </row>
    <row r="139">
      <c r="A139" t="str">
        <v>Cash Flow</v>
      </c>
      <c r="B139" t="str">
        <v>Arus Kas Dari Aktivitas Operasi</v>
      </c>
      <c r="C139" s="2">
        <v>47920728000000</v>
      </c>
      <c r="D139" s="2">
        <v>11576805000000</v>
      </c>
      <c r="E139" s="2">
        <v>25008762000000</v>
      </c>
      <c r="F139" s="2">
        <v>5739867000000</v>
      </c>
      <c r="H139" s="2">
        <v>77508785000000</v>
      </c>
      <c r="I139" s="2">
        <v>53820229000000</v>
      </c>
      <c r="J139" s="2">
        <v>58115466000000</v>
      </c>
      <c r="K139" s="2">
        <v>33779263000000</v>
      </c>
      <c r="L139" s="2">
        <v>126186318000000</v>
      </c>
      <c r="M139" s="2">
        <v>50978875000000</v>
      </c>
      <c r="N139" s="2">
        <v>51942040000000</v>
      </c>
      <c r="O139" s="2">
        <v>4912562000000</v>
      </c>
      <c r="P139" s="2">
        <v>9658627000000</v>
      </c>
      <c r="Q139" s="2">
        <v>45667484000000</v>
      </c>
      <c r="R139" s="2">
        <v>29459026000000</v>
      </c>
      <c r="S139" s="2">
        <v>35136527000000</v>
      </c>
      <c r="T139" s="2">
        <v>-4189827000000</v>
      </c>
      <c r="U139" s="2">
        <v>27715044000000</v>
      </c>
      <c r="V139" s="2">
        <v>-37228553000000</v>
      </c>
      <c r="W139" s="2">
        <v>2711962000000</v>
      </c>
      <c r="X139" s="2">
        <v>-18660401000000</v>
      </c>
      <c r="Y139" s="2">
        <v>-1743764000000</v>
      </c>
    </row>
    <row r="140">
      <c r="B140" t="str">
        <v>Penerimaan Pendapatan Bun...</v>
      </c>
      <c r="C140" s="2">
        <v>30666530000000</v>
      </c>
      <c r="D140" s="2">
        <v>29372301000000</v>
      </c>
      <c r="E140" s="2">
        <v>30350342000000</v>
      </c>
      <c r="F140" s="2">
        <v>28155939000000</v>
      </c>
      <c r="H140" s="2">
        <v>116653110000000</v>
      </c>
      <c r="I140" s="2">
        <v>110947606000000</v>
      </c>
      <c r="J140" s="2">
        <v>106414649000000</v>
      </c>
      <c r="K140" s="2">
        <v>89720816000000</v>
      </c>
      <c r="L140" s="2">
        <v>87630904000000</v>
      </c>
      <c r="M140" s="2">
        <v>78589390000000</v>
      </c>
      <c r="N140" s="2">
        <v>76539139000000</v>
      </c>
      <c r="O140" s="2">
        <v>67188173000000</v>
      </c>
      <c r="P140" s="2">
        <v>62896141000000</v>
      </c>
      <c r="Q140" s="2">
        <v>57248921000000</v>
      </c>
      <c r="R140" s="2">
        <v>54590864000000</v>
      </c>
      <c r="S140" s="2">
        <v>50279319000000</v>
      </c>
      <c r="T140" s="2">
        <v>40463212000000</v>
      </c>
      <c r="U140" s="2">
        <v>34231828000000</v>
      </c>
      <c r="V140" s="2">
        <v>24204371000000</v>
      </c>
      <c r="W140" s="2">
        <v>20412733000000</v>
      </c>
      <c r="X140" s="2">
        <v>19127371000000</v>
      </c>
      <c r="Y140" s="2">
        <v>16915774000000</v>
      </c>
    </row>
    <row r="141">
      <c r="B141" t="str">
        <v>Pendapatan Operasional La...</v>
      </c>
      <c r="C141" s="2">
        <v>1026079000000</v>
      </c>
      <c r="D141" s="2">
        <v>-1515879000000</v>
      </c>
      <c r="E141" s="2">
        <v>1354314000000</v>
      </c>
      <c r="F141" s="2">
        <v>1352271000000</v>
      </c>
      <c r="H141" s="2">
        <v>3155605000000</v>
      </c>
      <c r="I141" s="2">
        <v>6141705000000</v>
      </c>
      <c r="J141" s="2">
        <v>6355896000000</v>
      </c>
      <c r="K141" s="2">
        <v>5595626000000</v>
      </c>
      <c r="L141" s="2">
        <v>4787096000000</v>
      </c>
      <c r="M141" s="2">
        <v>3438074000000</v>
      </c>
      <c r="N141" s="2">
        <v>4019391000000</v>
      </c>
      <c r="O141" s="2">
        <v>3105023000000</v>
      </c>
      <c r="P141" s="2">
        <v>2554654000000</v>
      </c>
      <c r="Q141" s="2">
        <v>2062231000000</v>
      </c>
      <c r="R141" s="2">
        <v>1532994000000</v>
      </c>
      <c r="S141" s="2">
        <v>1061919000000</v>
      </c>
      <c r="T141" s="2">
        <v>612641000000</v>
      </c>
      <c r="U141" s="2">
        <v>347117000000</v>
      </c>
      <c r="V141" s="2">
        <v>6247264000000</v>
      </c>
      <c r="W141" s="2">
        <v>7206932000000</v>
      </c>
      <c r="X141" s="2">
        <v>3703399000000</v>
      </c>
      <c r="Y141" s="2">
        <v>3243649000000</v>
      </c>
    </row>
    <row r="142">
      <c r="B142" t="str">
        <v>Pembayaran Beban Bunga, P...</v>
      </c>
      <c r="C142" s="2">
        <v>-3438404000000</v>
      </c>
      <c r="D142" s="2">
        <v>-3321962000000</v>
      </c>
      <c r="E142" s="2">
        <v>-3316597000000</v>
      </c>
      <c r="F142" s="2">
        <v>-3501947000000</v>
      </c>
      <c r="H142" s="2">
        <v>-13394155000000</v>
      </c>
      <c r="I142" s="2">
        <v>-12578014000000</v>
      </c>
      <c r="J142" s="2">
        <v>-12184461000000</v>
      </c>
      <c r="K142" s="2">
        <v>-8372338000000</v>
      </c>
      <c r="L142" s="2">
        <v>-9606910000000</v>
      </c>
      <c r="M142" s="2">
        <v>-11422371000000</v>
      </c>
      <c r="N142" s="2">
        <v>-13523795000000</v>
      </c>
      <c r="O142" s="2">
        <v>-11364783000000</v>
      </c>
      <c r="P142" s="2">
        <v>-11900029000000</v>
      </c>
      <c r="Q142" s="2">
        <v>-10313905000000</v>
      </c>
      <c r="R142" s="2">
        <v>-11320613000000</v>
      </c>
      <c r="S142" s="2">
        <v>-11653738000000</v>
      </c>
      <c r="T142" s="2">
        <v>-7790809000000</v>
      </c>
      <c r="U142" s="2">
        <v>-7692146000000</v>
      </c>
      <c r="V142" s="2">
        <v>-7696113000000</v>
      </c>
      <c r="W142" s="2">
        <v>-7715163000000</v>
      </c>
      <c r="X142" s="2">
        <v>-8016223000000</v>
      </c>
      <c r="Y142" s="2">
        <v>-6937316000000</v>
      </c>
    </row>
    <row r="143">
      <c r="B143" t="str">
        <v>Pembayaran Imbalan Pasca-...</v>
      </c>
      <c r="D143" s="2">
        <v>-1552406000000</v>
      </c>
      <c r="H143" s="2">
        <v>-1552406000000</v>
      </c>
      <c r="I143" s="2">
        <v>-1165422000000</v>
      </c>
      <c r="J143" s="2">
        <v>-369720000000</v>
      </c>
      <c r="K143" s="2">
        <v>-362848000000</v>
      </c>
      <c r="L143" s="2">
        <v>-2020877000000</v>
      </c>
      <c r="M143" s="2">
        <v>-1031589000000</v>
      </c>
      <c r="N143" s="2">
        <v>-239230000000</v>
      </c>
      <c r="O143" s="2">
        <v>-675161000000</v>
      </c>
      <c r="P143" s="2">
        <v>-1488730000000</v>
      </c>
      <c r="Q143" s="2">
        <v>-1510616000000</v>
      </c>
      <c r="R143" s="2">
        <v>-1427104000000</v>
      </c>
      <c r="S143" s="2">
        <v>-1084181000000</v>
      </c>
      <c r="T143" s="2">
        <v>-234193000000</v>
      </c>
      <c r="U143" s="2">
        <v>-228178000000</v>
      </c>
    </row>
    <row r="144">
      <c r="B144" t="str">
        <v>(Beban) Pendapatan Dari T...</v>
      </c>
      <c r="D144" s="2">
        <v>-1852532000000</v>
      </c>
      <c r="E144" s="2">
        <v>1477424000000</v>
      </c>
      <c r="F144" s="2">
        <v>-969777000000</v>
      </c>
      <c r="I144" s="2">
        <v>3024747000000</v>
      </c>
      <c r="J144" s="2">
        <v>-465294000000</v>
      </c>
      <c r="K144" s="2">
        <v>3083584000000</v>
      </c>
      <c r="L144" s="2">
        <v>1488981000000</v>
      </c>
      <c r="M144" s="2">
        <v>106142000000</v>
      </c>
      <c r="N144" s="2">
        <v>1864822000000</v>
      </c>
      <c r="O144" s="2">
        <v>-402658000000</v>
      </c>
      <c r="P144" s="2">
        <v>200959000000</v>
      </c>
      <c r="Q144" s="2">
        <v>1763810000000</v>
      </c>
      <c r="R144" s="2">
        <v>2405144000000</v>
      </c>
      <c r="S144" s="2">
        <v>-813189000000</v>
      </c>
      <c r="T144" s="2">
        <v>-11224484000000</v>
      </c>
      <c r="U144" s="2">
        <v>-1557056000000</v>
      </c>
      <c r="V144" s="2">
        <v>1002669000000</v>
      </c>
      <c r="W144" s="2">
        <v>1984543000000</v>
      </c>
      <c r="X144" s="2">
        <v>7492116000000</v>
      </c>
      <c r="Y144" s="2">
        <v>-4995685000000</v>
      </c>
    </row>
    <row r="145">
      <c r="B145" t="str">
        <v>Beban Operasional Lainnya</v>
      </c>
      <c r="C145" s="2">
        <v>-7247607000000</v>
      </c>
      <c r="D145" s="2">
        <v>-4163020000000</v>
      </c>
      <c r="E145" s="2">
        <v>-11648164000000</v>
      </c>
      <c r="F145" s="2">
        <v>-10680286000000</v>
      </c>
      <c r="H145" s="2">
        <v>-33351462000000</v>
      </c>
      <c r="I145" s="2">
        <v>-36985821000000</v>
      </c>
      <c r="J145" s="2">
        <v>-35130988000000</v>
      </c>
      <c r="K145" s="2">
        <v>-29944225000000</v>
      </c>
      <c r="L145" s="2">
        <v>-27304565000000</v>
      </c>
      <c r="M145" s="2">
        <v>-26021802000000</v>
      </c>
      <c r="N145" s="2">
        <v>-27088835000000</v>
      </c>
      <c r="O145" s="2">
        <v>-24574455000000</v>
      </c>
      <c r="P145" s="2">
        <v>-22390235000000</v>
      </c>
      <c r="Q145" s="2">
        <v>-20631629000000</v>
      </c>
      <c r="R145" s="2">
        <v>-19160735000000</v>
      </c>
      <c r="S145" s="2">
        <v>-15724334000000</v>
      </c>
      <c r="T145" s="2">
        <v>-12749715000000</v>
      </c>
      <c r="U145" s="2">
        <v>-11238594000000</v>
      </c>
      <c r="V145" s="2">
        <v>-10046471000000</v>
      </c>
      <c r="W145" s="2">
        <v>-8855748000000</v>
      </c>
      <c r="X145" s="2">
        <v>-8008750000000</v>
      </c>
      <c r="Y145" s="2">
        <v>-6730833000000</v>
      </c>
    </row>
    <row r="146">
      <c r="B146" t="str">
        <v>Pendapatan Non-Operasiona...</v>
      </c>
      <c r="S146" s="2">
        <v>231491000000</v>
      </c>
      <c r="T146" s="2">
        <v>75980000000</v>
      </c>
      <c r="U146" s="2">
        <v>190522000000</v>
      </c>
      <c r="V146" s="2">
        <v>229417000000</v>
      </c>
      <c r="W146" s="2">
        <v>167076000000</v>
      </c>
      <c r="X146" s="2">
        <v>417023000000</v>
      </c>
      <c r="Y146" s="2">
        <v>48949000000</v>
      </c>
    </row>
    <row r="147">
      <c r="B147" t="str">
        <v>Pembayaran Pajak Penghasi...</v>
      </c>
      <c r="C147" s="2">
        <v>-3938322000000</v>
      </c>
      <c r="D147" s="2">
        <v>-3423857000000</v>
      </c>
      <c r="E147" s="2">
        <v>-3596708000000</v>
      </c>
      <c r="F147" s="2">
        <v>-3350974000000</v>
      </c>
      <c r="H147" s="2">
        <v>-12512383000000</v>
      </c>
      <c r="I147" s="2">
        <v>-12282274000000</v>
      </c>
      <c r="J147" s="2">
        <v>-11869562000000</v>
      </c>
      <c r="K147" s="2">
        <v>-10107569000000</v>
      </c>
      <c r="L147" s="2">
        <v>-8525496000000</v>
      </c>
      <c r="M147" s="2">
        <v>-6932987000000</v>
      </c>
      <c r="N147" s="2">
        <v>-7909355000000</v>
      </c>
      <c r="O147" s="2">
        <v>-6014149000000</v>
      </c>
      <c r="P147" s="2">
        <v>-5778687000000</v>
      </c>
      <c r="Q147" s="2">
        <v>-5681162000000</v>
      </c>
      <c r="R147" s="2">
        <v>-5022385000000</v>
      </c>
      <c r="S147" s="2">
        <v>-4573173000000</v>
      </c>
      <c r="T147" s="2">
        <v>-3913875000000</v>
      </c>
      <c r="U147" s="2">
        <v>-3084948000000</v>
      </c>
      <c r="V147" s="2">
        <v>-2751678000000</v>
      </c>
      <c r="W147" s="2">
        <v>-2037009000000</v>
      </c>
      <c r="X147" s="2">
        <v>-2772529000000</v>
      </c>
      <c r="Y147" s="2">
        <v>-2251332000000</v>
      </c>
    </row>
    <row r="148">
      <c r="B148" t="str">
        <v>Pembayaran Tantiem Dewan ...</v>
      </c>
      <c r="C148" s="2">
        <v>-932110000000</v>
      </c>
      <c r="H148" s="2">
        <v>-887700000000</v>
      </c>
      <c r="I148" s="2">
        <v>-765000000000</v>
      </c>
      <c r="J148" s="2">
        <v>-660000000000</v>
      </c>
      <c r="K148" s="2">
        <v>-493000000000</v>
      </c>
      <c r="L148" s="2">
        <v>-440390000000</v>
      </c>
      <c r="M148" s="2">
        <v>-445180000000</v>
      </c>
      <c r="N148" s="2">
        <v>-413500000000</v>
      </c>
      <c r="O148" s="2">
        <v>-354950000000</v>
      </c>
      <c r="P148" s="2">
        <v>-308114000000</v>
      </c>
      <c r="Q148" s="2">
        <v>-269600000000</v>
      </c>
      <c r="R148" s="2">
        <v>-247256000000</v>
      </c>
      <c r="S148" s="2">
        <v>-213762000000</v>
      </c>
      <c r="T148" s="2">
        <v>-175815000000</v>
      </c>
      <c r="U148" s="2">
        <v>-162261000000</v>
      </c>
      <c r="V148" s="2">
        <v>-105990000000</v>
      </c>
      <c r="W148" s="2">
        <v>-85085000000</v>
      </c>
    </row>
    <row r="149">
      <c r="B149" t="str">
        <v>Kenaikan/Penurunan Lainny...</v>
      </c>
    </row>
    <row r="150">
      <c r="B150" t="str">
        <v>Penempatan Pada Bank Ind...</v>
      </c>
      <c r="C150" s="2">
        <v>169400000000</v>
      </c>
      <c r="D150" s="2">
        <v>66861000000</v>
      </c>
      <c r="E150" s="2">
        <v>-231371000000</v>
      </c>
      <c r="F150" s="2">
        <v>-449144000000</v>
      </c>
      <c r="H150" s="2">
        <v>-599435000000</v>
      </c>
      <c r="I150" s="2">
        <v>696624000000</v>
      </c>
      <c r="J150" s="2">
        <v>417504000000</v>
      </c>
      <c r="K150" s="2">
        <v>9776116000000</v>
      </c>
      <c r="L150" s="2">
        <v>-5905153000000</v>
      </c>
      <c r="M150" s="2">
        <v>-3278195000000</v>
      </c>
      <c r="N150" s="2">
        <v>580463000000</v>
      </c>
      <c r="O150" s="2">
        <v>2975091000000</v>
      </c>
      <c r="P150" s="2">
        <v>-549529000000</v>
      </c>
      <c r="Q150" s="2">
        <v>-30300000000</v>
      </c>
      <c r="R150" s="2">
        <v>-22155000000</v>
      </c>
      <c r="S150" s="2">
        <v>3621000000</v>
      </c>
      <c r="T150" s="2">
        <v>1364963000000</v>
      </c>
      <c r="U150" s="2">
        <v>37283917000000</v>
      </c>
      <c r="V150" s="2">
        <v>-28840553000000</v>
      </c>
      <c r="W150" s="2">
        <v>-6988500000000</v>
      </c>
      <c r="X150" s="2">
        <v>-333125000000</v>
      </c>
      <c r="Y150" s="2">
        <v>1433831000000</v>
      </c>
    </row>
    <row r="151">
      <c r="B151" t="str">
        <v>Surat-Surat Berharga Unt...</v>
      </c>
      <c r="V151" s="2">
        <v>-316276000000</v>
      </c>
      <c r="W151" s="2">
        <v>-73674000000</v>
      </c>
      <c r="X151" s="2">
        <v>-45916424000000</v>
      </c>
      <c r="Y151" s="2">
        <v>-268095000000</v>
      </c>
    </row>
    <row r="152">
      <c r="B152" t="str">
        <v>Obligasi Pemerintah Untu...</v>
      </c>
      <c r="V152" s="2">
        <v>-138578000000</v>
      </c>
      <c r="W152" s="2">
        <v>-18577000000</v>
      </c>
      <c r="X152" s="2">
        <v>147144000000</v>
      </c>
      <c r="Y152" s="2">
        <v>390002000000</v>
      </c>
    </row>
    <row r="153">
      <c r="B153" t="str">
        <v>Aset Keuangan Untuk Dipe...</v>
      </c>
      <c r="C153" s="2">
        <v>4161880000000</v>
      </c>
      <c r="D153" s="2">
        <v>1620442000000</v>
      </c>
      <c r="E153" s="2">
        <v>-14010669000000</v>
      </c>
      <c r="F153" s="2">
        <v>3275257000000</v>
      </c>
      <c r="H153" s="2">
        <v>-11008328000000</v>
      </c>
      <c r="I153" s="2">
        <v>-5384422000000</v>
      </c>
      <c r="J153" s="2">
        <v>-12118168000000</v>
      </c>
      <c r="K153" s="2">
        <v>-209675000000</v>
      </c>
      <c r="L153" s="2">
        <v>887455000000</v>
      </c>
      <c r="M153" s="2">
        <v>2622554000000</v>
      </c>
      <c r="N153" s="2">
        <v>1242920000000</v>
      </c>
      <c r="O153" s="2">
        <v>1449674000000</v>
      </c>
      <c r="P153" s="2">
        <v>-522860000000</v>
      </c>
      <c r="Q153" s="2">
        <v>-3335070000000</v>
      </c>
      <c r="R153" s="2">
        <v>191547000000</v>
      </c>
      <c r="S153" s="2">
        <v>-315387000000</v>
      </c>
      <c r="T153" s="2">
        <v>282823000000</v>
      </c>
      <c r="U153" s="2">
        <v>1165555000000</v>
      </c>
    </row>
    <row r="154">
      <c r="B154" t="str">
        <v>Tagihan Akseptasi</v>
      </c>
      <c r="C154" s="2">
        <v>1015028000000</v>
      </c>
      <c r="D154" s="2">
        <v>486044000000</v>
      </c>
      <c r="E154" s="2">
        <v>824415000000</v>
      </c>
      <c r="F154" s="2">
        <v>-788248000000</v>
      </c>
      <c r="H154" s="2">
        <v>366799000000</v>
      </c>
      <c r="I154" s="2">
        <v>4880997000000</v>
      </c>
      <c r="J154" s="2">
        <v>572359000000</v>
      </c>
      <c r="K154" s="2">
        <v>-4054784000000</v>
      </c>
      <c r="L154" s="2">
        <v>-2906339000000</v>
      </c>
      <c r="M154" s="2">
        <v>1115402000000</v>
      </c>
      <c r="N154" s="2">
        <v>2248758000000</v>
      </c>
      <c r="O154" s="2">
        <v>-1602067000000</v>
      </c>
      <c r="P154" s="2">
        <v>-2970148000000</v>
      </c>
      <c r="Q154" s="2">
        <v>454808000000</v>
      </c>
      <c r="R154" s="2">
        <v>164979000000</v>
      </c>
      <c r="S154" s="2">
        <v>-1441591000000</v>
      </c>
      <c r="T154" s="2">
        <v>1253079000000</v>
      </c>
      <c r="U154" s="2">
        <v>-2184483000000</v>
      </c>
      <c r="V154" s="2">
        <v>-135024000000</v>
      </c>
      <c r="W154" s="2">
        <v>-77817000000</v>
      </c>
      <c r="X154" s="2">
        <v>-138565000000</v>
      </c>
      <c r="Y154" s="2">
        <v>-549930000000</v>
      </c>
    </row>
    <row r="155">
      <c r="B155" t="str">
        <v>Wesel Tagih</v>
      </c>
      <c r="C155" s="2">
        <v>1642392000000</v>
      </c>
      <c r="D155" s="2">
        <v>-3524901000000</v>
      </c>
      <c r="E155" s="2">
        <v>-3983126000000</v>
      </c>
      <c r="F155" s="2">
        <v>3228405000000</v>
      </c>
      <c r="H155" s="2">
        <v>-2929891000000</v>
      </c>
      <c r="I155" s="2">
        <v>1718437000000</v>
      </c>
      <c r="J155" s="2">
        <v>-4489425000000</v>
      </c>
      <c r="K155" s="2">
        <v>633297000000</v>
      </c>
      <c r="L155" s="2">
        <v>1766963000000</v>
      </c>
      <c r="M155" s="2">
        <v>30292000000</v>
      </c>
      <c r="N155" s="2">
        <v>523988000000</v>
      </c>
      <c r="O155" s="2">
        <v>-1760866000000</v>
      </c>
      <c r="P155" s="2">
        <v>-2759868000000</v>
      </c>
      <c r="Q155" s="2">
        <v>-1311522000000</v>
      </c>
      <c r="R155" s="2">
        <v>894179000000</v>
      </c>
      <c r="S155" s="2">
        <v>-550074000000</v>
      </c>
      <c r="T155" s="2">
        <v>-400825000000</v>
      </c>
      <c r="U155" s="2">
        <v>-605581000000</v>
      </c>
    </row>
    <row r="156">
      <c r="B156" t="str">
        <v>Efek-Efek Yang Dibeli De...</v>
      </c>
      <c r="C156" s="2">
        <v>-16273823000000</v>
      </c>
      <c r="D156" s="2">
        <v>8185665000000</v>
      </c>
      <c r="E156" s="2">
        <v>-617922000000</v>
      </c>
      <c r="F156" s="2">
        <v>9570520000000</v>
      </c>
      <c r="H156" s="2">
        <v>-3835846000000</v>
      </c>
      <c r="I156" s="2">
        <v>91646548000000</v>
      </c>
      <c r="J156" s="2">
        <v>60869260000000</v>
      </c>
      <c r="K156" s="2">
        <v>-6900307000000</v>
      </c>
      <c r="L156" s="2">
        <v>-245707000000</v>
      </c>
      <c r="M156" s="2">
        <v>-137243099000000</v>
      </c>
      <c r="N156" s="2">
        <v>-118822000000</v>
      </c>
      <c r="O156" s="2">
        <v>48942000000</v>
      </c>
      <c r="P156" s="2">
        <v>-6712029000000</v>
      </c>
      <c r="Q156" s="2">
        <v>-2034498000000</v>
      </c>
      <c r="R156" s="2">
        <v>25774564000000</v>
      </c>
      <c r="S156" s="2">
        <v>14766508000000</v>
      </c>
      <c r="T156" s="2">
        <v>-6607636000000</v>
      </c>
      <c r="U156" s="2">
        <v>-13247371000000</v>
      </c>
      <c r="V156" s="2">
        <v>-18064828000000</v>
      </c>
      <c r="W156" s="2">
        <v>-2466999000000</v>
      </c>
      <c r="X156" s="2">
        <v>-669336000000</v>
      </c>
    </row>
    <row r="157">
      <c r="B157" t="str">
        <v>Kredit Yang Diberikan</v>
      </c>
      <c r="C157" s="2">
        <v>-287574000000</v>
      </c>
      <c r="D157" s="2">
        <v>-51005831000000</v>
      </c>
      <c r="E157" s="2">
        <v>14246449000000</v>
      </c>
      <c r="F157" s="2">
        <v>-20492680000000</v>
      </c>
      <c r="H157" s="2">
        <v>-75158559000000</v>
      </c>
      <c r="I157" s="2">
        <v>-111218318000000</v>
      </c>
      <c r="J157" s="2">
        <v>-100405857000000</v>
      </c>
      <c r="K157" s="2">
        <v>-73189294000000</v>
      </c>
      <c r="L157" s="2">
        <v>-51043093000000</v>
      </c>
      <c r="M157" s="2">
        <v>9394072000000</v>
      </c>
      <c r="N157" s="2">
        <v>-52792003000000</v>
      </c>
      <c r="O157" s="2">
        <v>-71291269000000</v>
      </c>
      <c r="P157" s="2">
        <v>-52854462000000</v>
      </c>
      <c r="Q157" s="2">
        <v>-29288974000000</v>
      </c>
      <c r="R157" s="2">
        <v>-39703557000000</v>
      </c>
      <c r="S157" s="2">
        <v>-34315786000000</v>
      </c>
      <c r="T157" s="2">
        <v>-52130025000000</v>
      </c>
      <c r="U157" s="2">
        <v>-54132447000000</v>
      </c>
      <c r="V157" s="2">
        <v>-48707452000000</v>
      </c>
      <c r="W157" s="2">
        <v>-30768658000000</v>
      </c>
      <c r="X157" s="2">
        <v>-12940868000000</v>
      </c>
      <c r="Y157" s="2">
        <v>-28914778000000</v>
      </c>
    </row>
    <row r="158">
      <c r="B158" t="str">
        <v>Piutang Pembiayaan Konsu...</v>
      </c>
      <c r="C158" s="2">
        <v>-500427000000</v>
      </c>
      <c r="D158" s="2">
        <v>199933000000</v>
      </c>
      <c r="E158" s="2">
        <v>-357975000000</v>
      </c>
      <c r="F158" s="2">
        <v>753549000000</v>
      </c>
      <c r="H158" s="2">
        <v>-163508000000</v>
      </c>
      <c r="I158" s="2">
        <v>-1075617000000</v>
      </c>
      <c r="J158" s="2">
        <v>-670970000000</v>
      </c>
      <c r="K158" s="2">
        <v>-222986000000</v>
      </c>
      <c r="L158" s="2">
        <v>-400472000000</v>
      </c>
      <c r="M158" s="2">
        <v>2327408000000</v>
      </c>
      <c r="N158" s="2">
        <v>-3316911000000</v>
      </c>
      <c r="O158" s="2">
        <v>606838000000</v>
      </c>
      <c r="P158" s="2">
        <v>-635341000000</v>
      </c>
      <c r="Q158" s="2">
        <v>-1066291000000</v>
      </c>
      <c r="R158" s="2">
        <v>-727630000000</v>
      </c>
      <c r="S158" s="2">
        <v>-94995000000</v>
      </c>
      <c r="T158" s="2">
        <v>-757831000000</v>
      </c>
      <c r="U158" s="2">
        <v>-1028276000000</v>
      </c>
      <c r="V158" s="2">
        <v>-532414000000</v>
      </c>
      <c r="W158" s="2">
        <v>-1069862000000</v>
      </c>
      <c r="X158" s="2">
        <v>-501086000000</v>
      </c>
      <c r="Y158" s="2">
        <v>-69974000000</v>
      </c>
    </row>
    <row r="159">
      <c r="B159" t="str">
        <v>Investasi Sewa Pembiayaa...</v>
      </c>
      <c r="C159" s="2">
        <v>4019000000</v>
      </c>
      <c r="D159" s="2">
        <v>6061000000</v>
      </c>
      <c r="E159" s="2">
        <v>8888000000</v>
      </c>
      <c r="F159" s="2">
        <v>12140000000</v>
      </c>
      <c r="H159" s="2">
        <v>41223000000</v>
      </c>
      <c r="I159" s="2">
        <v>88851000000</v>
      </c>
      <c r="J159" s="2">
        <v>-17464000000</v>
      </c>
      <c r="K159" s="2">
        <v>-38002000000</v>
      </c>
      <c r="L159" s="2">
        <v>10292000000</v>
      </c>
      <c r="M159" s="2">
        <v>51267000000</v>
      </c>
      <c r="N159" s="2">
        <v>25193000000</v>
      </c>
      <c r="O159" s="2">
        <v>5446000000</v>
      </c>
      <c r="P159" s="2">
        <v>-19526000000</v>
      </c>
      <c r="Q159" s="2">
        <v>14322000000</v>
      </c>
      <c r="R159" s="2">
        <v>-8074000000</v>
      </c>
      <c r="S159" s="2">
        <v>16320000000</v>
      </c>
      <c r="T159" s="2">
        <v>-79241000000</v>
      </c>
      <c r="U159" s="2">
        <v>-95558000000</v>
      </c>
      <c r="V159" s="2">
        <v>-6729000000</v>
      </c>
      <c r="W159" s="2">
        <v>-2726000000</v>
      </c>
      <c r="X159" s="2">
        <v>10551000000</v>
      </c>
      <c r="Y159" s="2">
        <v>16376000000</v>
      </c>
    </row>
    <row r="160">
      <c r="B160" t="str">
        <v>Pembiayaan Syariah</v>
      </c>
      <c r="C160" s="2">
        <v>-97941000000</v>
      </c>
      <c r="D160" s="2">
        <v>-964299000000</v>
      </c>
      <c r="E160" s="2">
        <v>-987594000000</v>
      </c>
      <c r="F160" s="2">
        <v>-263697000000</v>
      </c>
      <c r="H160" s="2">
        <v>-2502671000000</v>
      </c>
      <c r="I160" s="2">
        <v>-1696820000000</v>
      </c>
      <c r="J160" s="2">
        <v>-1712883000000</v>
      </c>
      <c r="K160" s="2">
        <v>-1456064000000</v>
      </c>
      <c r="L160" s="2">
        <v>-840578000000</v>
      </c>
      <c r="M160" s="2">
        <v>-65298000000</v>
      </c>
      <c r="N160" s="2">
        <v>-854413000000</v>
      </c>
      <c r="O160" s="2">
        <v>-824972000000</v>
      </c>
      <c r="P160" s="2">
        <v>-817728000000</v>
      </c>
      <c r="Q160" s="2">
        <v>-562567000000</v>
      </c>
      <c r="R160" s="2">
        <v>-898909000000</v>
      </c>
      <c r="S160" s="2">
        <v>-744767000000</v>
      </c>
      <c r="T160" s="2">
        <v>-444778000000</v>
      </c>
      <c r="U160" s="2">
        <v>-366959000000</v>
      </c>
      <c r="V160" s="2">
        <v>-306969000000</v>
      </c>
      <c r="W160" s="2">
        <v>-446420000000</v>
      </c>
    </row>
    <row r="161">
      <c r="B161" t="str">
        <v>Aset Lain-Lain</v>
      </c>
      <c r="C161" s="2">
        <v>814944000000</v>
      </c>
      <c r="D161" s="2">
        <v>55210000000</v>
      </c>
      <c r="E161" s="2">
        <v>-1672783000000</v>
      </c>
      <c r="F161" s="2">
        <v>8597561000000</v>
      </c>
      <c r="H161" s="2">
        <v>-368424000000</v>
      </c>
      <c r="I161" s="2">
        <v>-138657000000</v>
      </c>
      <c r="J161" s="2">
        <v>-7521645000000</v>
      </c>
      <c r="K161" s="2">
        <v>-25785000000</v>
      </c>
      <c r="L161" s="2">
        <v>1059049000000</v>
      </c>
      <c r="M161" s="2">
        <v>-2568705000000</v>
      </c>
      <c r="N161" s="2">
        <v>1065298000000</v>
      </c>
      <c r="O161" s="2">
        <v>-3205118000000</v>
      </c>
      <c r="P161" s="2">
        <v>-2500050000000</v>
      </c>
      <c r="Q161" s="2">
        <v>818537000000</v>
      </c>
      <c r="R161" s="2">
        <v>-1537618000000</v>
      </c>
      <c r="S161" s="2">
        <v>-62881000000</v>
      </c>
      <c r="T161" s="2">
        <v>1251099000000</v>
      </c>
      <c r="U161" s="2">
        <v>-1454558000000</v>
      </c>
      <c r="V161" s="2">
        <v>-85273000000</v>
      </c>
      <c r="W161" s="2">
        <v>-18741000000</v>
      </c>
      <c r="X161" s="2">
        <v>250397000000</v>
      </c>
      <c r="Y161" s="2">
        <v>573186000000</v>
      </c>
    </row>
    <row r="162">
      <c r="B162" t="str">
        <v>Liabilitas Segera</v>
      </c>
      <c r="V162" s="2">
        <v>875736000000</v>
      </c>
      <c r="W162" s="2">
        <v>164367000000</v>
      </c>
      <c r="X162" s="2">
        <v>-284287000000</v>
      </c>
      <c r="Y162" s="2">
        <v>205837000000</v>
      </c>
    </row>
    <row r="163">
      <c r="B163" t="str">
        <v>Simpanan Dari Nasabah</v>
      </c>
      <c r="C163" s="2">
        <v>40913625000000</v>
      </c>
      <c r="D163" s="2">
        <v>43057362000000</v>
      </c>
      <c r="E163" s="2">
        <v>12526381000000</v>
      </c>
      <c r="F163" s="2">
        <v>-2424874000000</v>
      </c>
      <c r="H163" s="2">
        <v>110410053000000</v>
      </c>
      <c r="I163" s="2">
        <v>26690842000000</v>
      </c>
      <c r="J163" s="2">
        <v>61073381000000</v>
      </c>
      <c r="K163" s="2">
        <v>55348155000000</v>
      </c>
      <c r="L163" s="2">
        <v>133511934000000</v>
      </c>
      <c r="M163" s="2">
        <v>135030737000000</v>
      </c>
      <c r="N163" s="2">
        <v>70428018000000</v>
      </c>
      <c r="O163" s="2">
        <v>46025884000000</v>
      </c>
      <c r="P163" s="2">
        <v>50981817000000</v>
      </c>
      <c r="Q163" s="2">
        <v>56467413000000</v>
      </c>
      <c r="R163" s="2">
        <v>21477153000000</v>
      </c>
      <c r="S163" s="2">
        <v>39071373000000</v>
      </c>
      <c r="T163" s="2">
        <v>47110182000000</v>
      </c>
      <c r="U163" s="2">
        <v>48599248000000</v>
      </c>
      <c r="V163" s="2">
        <v>46070729000000</v>
      </c>
      <c r="W163" s="2">
        <v>31258163000000</v>
      </c>
      <c r="X163" s="2">
        <v>31219015000000</v>
      </c>
      <c r="Y163" s="2">
        <v>23344452000000</v>
      </c>
    </row>
    <row r="164">
      <c r="B164" t="str">
        <v>Dana Simpanan Syariah</v>
      </c>
      <c r="C164" s="2">
        <v>303294000000</v>
      </c>
      <c r="D164" s="2">
        <v>1071045000000</v>
      </c>
      <c r="E164" s="2">
        <v>-511155000000</v>
      </c>
      <c r="F164" s="2">
        <v>486421000000</v>
      </c>
      <c r="H164" s="2">
        <v>1215478000000</v>
      </c>
      <c r="I164" s="2">
        <v>733393000000</v>
      </c>
      <c r="J164" s="2">
        <v>376110000000</v>
      </c>
      <c r="K164" s="2">
        <v>1205821000000</v>
      </c>
      <c r="L164" s="2">
        <v>468387000000</v>
      </c>
      <c r="M164" s="2">
        <v>116126000000</v>
      </c>
      <c r="N164" s="2">
        <v>414211000000</v>
      </c>
      <c r="O164" s="2">
        <v>142617000000</v>
      </c>
      <c r="P164" s="2">
        <v>113943000000</v>
      </c>
      <c r="Q164" s="2">
        <v>13088000000</v>
      </c>
      <c r="R164" s="2">
        <v>54835000000</v>
      </c>
      <c r="S164" s="2">
        <v>46686000000</v>
      </c>
      <c r="T164" s="2">
        <v>17333000000</v>
      </c>
      <c r="U164" s="2">
        <v>84185000000</v>
      </c>
      <c r="V164" s="2">
        <v>52019000000</v>
      </c>
      <c r="W164" s="2">
        <v>96608000000</v>
      </c>
    </row>
    <row r="165">
      <c r="B165" t="str">
        <v>Simpanan Dari Bank-Bank ...</v>
      </c>
      <c r="C165" s="2">
        <v>295226000000</v>
      </c>
      <c r="D165" s="2">
        <v>-1498246000000</v>
      </c>
      <c r="E165" s="2">
        <v>2009781000000</v>
      </c>
      <c r="F165" s="2">
        <v>-648627000000</v>
      </c>
      <c r="H165" s="2">
        <v>255355000000</v>
      </c>
      <c r="I165" s="2">
        <v>-6480950000000</v>
      </c>
      <c r="J165" s="2">
        <v>2154145000000</v>
      </c>
      <c r="K165" s="2">
        <v>-2241366000000</v>
      </c>
      <c r="L165" s="2">
        <v>-206217000000</v>
      </c>
      <c r="M165" s="2">
        <v>3474062000000</v>
      </c>
      <c r="N165" s="2">
        <v>287817000000</v>
      </c>
      <c r="O165" s="2">
        <v>647637000000</v>
      </c>
      <c r="P165" s="2">
        <v>857472000000</v>
      </c>
      <c r="Q165" s="2">
        <v>744889000000</v>
      </c>
      <c r="R165" s="2">
        <v>266025000000</v>
      </c>
      <c r="S165" s="2">
        <v>473331000000</v>
      </c>
      <c r="T165" s="2">
        <v>1249964000000</v>
      </c>
      <c r="U165" s="2">
        <v>-1094414000000</v>
      </c>
      <c r="V165" s="2">
        <v>597409000000</v>
      </c>
      <c r="W165" s="2">
        <v>331512000000</v>
      </c>
      <c r="X165" s="2">
        <v>-1849219000000</v>
      </c>
      <c r="Y165" s="2">
        <v>2413264000000</v>
      </c>
    </row>
    <row r="166">
      <c r="B166" t="str">
        <v>Utang Akseptasi</v>
      </c>
      <c r="C166" s="2">
        <v>-358295000000</v>
      </c>
      <c r="D166" s="2">
        <v>-679929000000</v>
      </c>
      <c r="E166" s="2">
        <v>-42048000000</v>
      </c>
      <c r="F166" s="2">
        <v>584751000000</v>
      </c>
      <c r="H166" s="2">
        <v>81907000000</v>
      </c>
      <c r="I166" s="2">
        <v>-2049301000000</v>
      </c>
      <c r="J166" s="2">
        <v>-2965392000000</v>
      </c>
      <c r="K166" s="2">
        <v>3022354000000</v>
      </c>
      <c r="L166" s="2">
        <v>2244249000000</v>
      </c>
      <c r="M166" s="2">
        <v>-921204000000</v>
      </c>
      <c r="N166" s="2">
        <v>-522237000000</v>
      </c>
      <c r="O166" s="2">
        <v>43009000000</v>
      </c>
      <c r="P166" s="2">
        <v>1613329000000</v>
      </c>
      <c r="Q166" s="2">
        <v>-187791000000</v>
      </c>
      <c r="R166" s="2">
        <v>-323007000000</v>
      </c>
      <c r="S166" s="2">
        <v>158504000000</v>
      </c>
      <c r="T166" s="2">
        <v>-1300053000000</v>
      </c>
      <c r="U166" s="2">
        <v>1796174000000</v>
      </c>
    </row>
    <row r="167">
      <c r="B167" t="str">
        <v>Beban Yang Masih Harus D...</v>
      </c>
      <c r="C167" s="2">
        <v>-496021000000</v>
      </c>
      <c r="D167" s="2">
        <v>759018000000</v>
      </c>
      <c r="E167" s="2">
        <v>2415686000000</v>
      </c>
      <c r="F167" s="2">
        <v>-6728959000000</v>
      </c>
      <c r="H167" s="2">
        <v>2448145000000</v>
      </c>
      <c r="I167" s="2">
        <v>-2098166000000</v>
      </c>
      <c r="J167" s="2">
        <v>9010494000000</v>
      </c>
      <c r="K167" s="2">
        <v>2293350000000</v>
      </c>
      <c r="L167" s="2">
        <v>1372445000000</v>
      </c>
      <c r="M167" s="2">
        <v>4075180000000</v>
      </c>
      <c r="N167" s="2">
        <v>-702168000000</v>
      </c>
      <c r="O167" s="2">
        <v>4126653000000</v>
      </c>
      <c r="P167" s="2">
        <v>2136940000000</v>
      </c>
      <c r="Q167" s="2">
        <v>1638789000000</v>
      </c>
      <c r="R167" s="2">
        <v>1655877000000</v>
      </c>
      <c r="S167" s="2">
        <v>106717000000</v>
      </c>
      <c r="T167" s="2">
        <v>-476714000000</v>
      </c>
      <c r="U167" s="2">
        <v>1875824000000</v>
      </c>
    </row>
    <row r="168">
      <c r="B168" t="str">
        <v>Dana Syirkah Temporer</v>
      </c>
      <c r="C168" s="2">
        <v>478835000000</v>
      </c>
      <c r="D168" s="2">
        <v>199725000000</v>
      </c>
      <c r="E168" s="2">
        <v>771194000000</v>
      </c>
      <c r="F168" s="2">
        <v>22266000000</v>
      </c>
      <c r="H168" s="2">
        <v>1145878000000</v>
      </c>
      <c r="I168" s="2">
        <v>1169261000000</v>
      </c>
      <c r="J168" s="2">
        <v>1453497000000</v>
      </c>
      <c r="K168" s="2">
        <v>718387000000</v>
      </c>
      <c r="L168" s="2">
        <v>404360000000</v>
      </c>
      <c r="M168" s="2">
        <v>538599000000</v>
      </c>
      <c r="N168" s="2">
        <v>183291000000</v>
      </c>
      <c r="O168" s="2">
        <v>618023000000</v>
      </c>
      <c r="P168" s="2">
        <v>510708000000</v>
      </c>
      <c r="Q168" s="2">
        <v>664601000000</v>
      </c>
      <c r="R168" s="2">
        <v>849908000000</v>
      </c>
      <c r="S168" s="2">
        <v>508596000000</v>
      </c>
      <c r="T168" s="2">
        <v>414891000000</v>
      </c>
      <c r="U168" s="2">
        <v>313504000000</v>
      </c>
      <c r="V168" s="2">
        <v>255343000000</v>
      </c>
      <c r="W168" s="2">
        <v>460165000000</v>
      </c>
    </row>
    <row r="169">
      <c r="B169" t="str">
        <v>Surat-Surat Berharga Yan...</v>
      </c>
      <c r="V169" s="2">
        <v>362228000000</v>
      </c>
      <c r="W169" s="2">
        <v>720458000000</v>
      </c>
      <c r="X169" s="2">
        <v>-109795000000</v>
      </c>
      <c r="Y169" s="2">
        <v>3960000000</v>
      </c>
    </row>
    <row r="170">
      <c r="B170" t="str">
        <v>Surat Berharga Yang Diju...</v>
      </c>
      <c r="X170" s="2">
        <v>-49892000000</v>
      </c>
      <c r="Y170" s="2">
        <v>49892000000</v>
      </c>
    </row>
    <row r="171">
      <c r="B171" t="str">
        <v>Dana Investasi Revenue S...</v>
      </c>
    </row>
    <row r="172">
      <c r="B172" t="str">
        <v>Liabilitas Lain-Lain</v>
      </c>
      <c r="V172" s="2">
        <v>608610000000</v>
      </c>
      <c r="W172" s="2">
        <v>534384000000</v>
      </c>
      <c r="X172" s="2">
        <v>562682000000</v>
      </c>
      <c r="Y172" s="2">
        <v>335007000000</v>
      </c>
    </row>
    <row r="173">
      <c r="B173" t="str">
        <v>Total Kenaikan/Penuruna...</v>
      </c>
      <c r="C173" s="2">
        <v>31784562000000</v>
      </c>
      <c r="D173" s="2">
        <v>-1965840000000</v>
      </c>
      <c r="E173" s="2">
        <v>10388151000000</v>
      </c>
      <c r="F173" s="2">
        <v>-5265359000000</v>
      </c>
      <c r="H173" s="2">
        <v>19398176000000</v>
      </c>
      <c r="I173" s="2">
        <v>-2517298000000</v>
      </c>
      <c r="J173" s="2">
        <v>6024946000000</v>
      </c>
      <c r="K173" s="2">
        <v>-15340783000000</v>
      </c>
      <c r="L173" s="2">
        <v>80177575000000</v>
      </c>
      <c r="M173" s="2">
        <v>14699198000000</v>
      </c>
      <c r="N173" s="2">
        <v>18693403000000</v>
      </c>
      <c r="O173" s="2">
        <v>-21994478000000</v>
      </c>
      <c r="P173" s="2">
        <v>-14127332000000</v>
      </c>
      <c r="Q173" s="2">
        <v>22999434000000</v>
      </c>
      <c r="R173" s="2">
        <v>8108117000000</v>
      </c>
      <c r="S173" s="2">
        <v>17626175000000</v>
      </c>
      <c r="T173" s="2">
        <v>-9252769000000</v>
      </c>
      <c r="U173" s="2">
        <v>16908760000000</v>
      </c>
      <c r="V173" s="2">
        <v>-48312022000000</v>
      </c>
      <c r="W173" s="2">
        <v>-8366317000000</v>
      </c>
      <c r="X173" s="2">
        <v>-30602808000000</v>
      </c>
      <c r="Y173" s="2">
        <v>-1036970000000</v>
      </c>
    </row>
    <row r="174">
      <c r="B174" t="str">
        <v>Total Arus Kas Dari Aktivitas...</v>
      </c>
      <c r="C174" s="2">
        <v>-1072636000000</v>
      </c>
      <c r="D174" s="2">
        <v>-9012693000000</v>
      </c>
      <c r="E174" s="2">
        <v>386601000000</v>
      </c>
      <c r="F174" s="2">
        <v>-33080365000000</v>
      </c>
      <c r="H174" s="2">
        <v>-41708637000000</v>
      </c>
      <c r="I174" s="2">
        <v>-33328689000000</v>
      </c>
      <c r="J174" s="2">
        <v>-25070681000000</v>
      </c>
      <c r="K174" s="2">
        <v>-19116216000000</v>
      </c>
      <c r="L174" s="2">
        <v>-14098229000000</v>
      </c>
      <c r="M174" s="2">
        <v>-15553268000000</v>
      </c>
      <c r="N174" s="2">
        <v>-7334896000000</v>
      </c>
      <c r="O174" s="2">
        <v>-7297649000000</v>
      </c>
      <c r="P174" s="2">
        <v>-6655698000000</v>
      </c>
      <c r="Q174" s="2">
        <v>-3662059000000</v>
      </c>
      <c r="R174" s="2">
        <v>-4754155000000</v>
      </c>
      <c r="S174" s="2">
        <v>-2743308000000</v>
      </c>
      <c r="T174" s="2">
        <v>83951000000</v>
      </c>
      <c r="U174" s="2">
        <v>-1300874000000</v>
      </c>
      <c r="V174" s="2">
        <v>-2773338000000</v>
      </c>
      <c r="W174" s="2">
        <v>-3022702000000</v>
      </c>
      <c r="X174" s="2">
        <v>-3201329000000</v>
      </c>
      <c r="Y174" s="2">
        <v>-2858995000000</v>
      </c>
    </row>
    <row r="175">
      <c r="B175" t="str">
        <v>Arus Kas Dari Aktivitas Investa...</v>
      </c>
      <c r="C175" s="2">
        <v>-16987375000000</v>
      </c>
      <c r="D175" s="2">
        <v>-15230835000000</v>
      </c>
      <c r="E175" s="2">
        <v>-31536635000000</v>
      </c>
      <c r="F175" s="2">
        <v>17377349000000</v>
      </c>
      <c r="H175" s="2">
        <v>-33690926000000</v>
      </c>
      <c r="I175" s="2">
        <v>-58948506000000</v>
      </c>
      <c r="J175" s="2">
        <v>-69796749000000</v>
      </c>
      <c r="K175" s="2">
        <v>-32382986000000</v>
      </c>
      <c r="L175" s="2">
        <v>-41247858000000</v>
      </c>
      <c r="M175" s="2">
        <v>-44117844000000</v>
      </c>
      <c r="N175" s="2">
        <v>-34732414000000</v>
      </c>
      <c r="O175" s="2">
        <v>20627654000000</v>
      </c>
      <c r="P175" s="2">
        <v>-20620020000000</v>
      </c>
      <c r="Q175" s="2">
        <v>-60596377000000</v>
      </c>
      <c r="R175" s="2">
        <v>18935842000000</v>
      </c>
      <c r="S175" s="2">
        <v>-25053743000000</v>
      </c>
      <c r="T175" s="2">
        <v>-4612390000000</v>
      </c>
      <c r="U175" s="2">
        <v>2052255000000</v>
      </c>
      <c r="V175" s="2">
        <v>3316909000000</v>
      </c>
      <c r="W175" s="2">
        <v>-4999306000000</v>
      </c>
      <c r="X175" s="2">
        <v>25805983000000</v>
      </c>
      <c r="Y175" s="2">
        <v>4205004000000</v>
      </c>
    </row>
    <row r="176">
      <c r="B176" t="str">
        <v>Pembelian Efek-Efek Untuk...</v>
      </c>
      <c r="C176" s="2">
        <v>-33412125000000</v>
      </c>
      <c r="D176" s="2">
        <v>-60156487000000</v>
      </c>
      <c r="E176" s="2">
        <v>-100036607000000</v>
      </c>
      <c r="F176" s="2">
        <v>-41017413000000</v>
      </c>
      <c r="H176" s="2">
        <v>-225667316000000</v>
      </c>
      <c r="I176" s="2">
        <v>-216097218000000</v>
      </c>
      <c r="J176" s="2">
        <v>-162676803000000</v>
      </c>
      <c r="K176" s="2">
        <v>-136240737000000</v>
      </c>
      <c r="L176" s="2">
        <v>-128125285000000</v>
      </c>
      <c r="M176" s="2">
        <v>-130808823000000</v>
      </c>
      <c r="N176" s="2">
        <v>-113341023000000</v>
      </c>
      <c r="O176" s="2">
        <v>-80019462000000</v>
      </c>
      <c r="P176" s="2">
        <v>-90070128000000</v>
      </c>
      <c r="Q176" s="2">
        <v>-138127963000000</v>
      </c>
      <c r="R176" s="2">
        <v>-60322065000000</v>
      </c>
      <c r="S176" s="2">
        <v>-49735172000000</v>
      </c>
      <c r="T176" s="2">
        <v>-18268301000000</v>
      </c>
      <c r="U176" s="2">
        <v>-23631358000000</v>
      </c>
    </row>
    <row r="177">
      <c r="B177" t="str">
        <v>Penerimaan Dari Efek-Efek...</v>
      </c>
      <c r="C177" s="2">
        <v>16857848000000</v>
      </c>
      <c r="D177" s="2">
        <v>46265233000000</v>
      </c>
      <c r="E177" s="2">
        <v>68932296000000</v>
      </c>
      <c r="F177" s="2">
        <v>58528678000000</v>
      </c>
      <c r="H177" s="2">
        <v>194313921000000</v>
      </c>
      <c r="I177" s="2">
        <v>160506459000000</v>
      </c>
      <c r="J177" s="2">
        <v>97872788000000</v>
      </c>
      <c r="K177" s="2">
        <v>107010907000000</v>
      </c>
      <c r="L177" s="2">
        <v>90154180000000</v>
      </c>
      <c r="M177" s="2">
        <v>89587869000000</v>
      </c>
      <c r="N177" s="2">
        <v>81979747000000</v>
      </c>
      <c r="O177" s="2">
        <v>102856627000000</v>
      </c>
      <c r="P177" s="2">
        <v>70914740000000</v>
      </c>
      <c r="Q177" s="2">
        <v>82343696000000</v>
      </c>
      <c r="R177" s="2">
        <v>82584300000000</v>
      </c>
      <c r="S177" s="2">
        <v>27283429000000</v>
      </c>
      <c r="T177" s="2">
        <v>15556338000000</v>
      </c>
      <c r="U177" s="2">
        <v>28876712000000</v>
      </c>
    </row>
    <row r="178">
      <c r="B178" t="str">
        <v>Penjualan Efek-Efek Untuk...</v>
      </c>
      <c r="I178" s="2">
        <v>770959000000</v>
      </c>
      <c r="J178" s="2">
        <v>50000000000</v>
      </c>
      <c r="K178" s="2">
        <v>150000000000</v>
      </c>
      <c r="L178" s="2">
        <v>3656000000</v>
      </c>
      <c r="M178" s="2">
        <v>61671000000</v>
      </c>
      <c r="N178" s="2">
        <v>189740000000</v>
      </c>
      <c r="O178" s="2">
        <v>115679000000</v>
      </c>
      <c r="P178" s="2">
        <v>35500000000</v>
      </c>
      <c r="Q178" s="2">
        <v>29497000000</v>
      </c>
      <c r="T178" s="2">
        <v>985508000000</v>
      </c>
    </row>
    <row r="179">
      <c r="B179" t="str">
        <v>Penerimaan Dividen Kas Da...</v>
      </c>
      <c r="C179" s="2">
        <v>1293000000</v>
      </c>
      <c r="D179" s="2">
        <v>6970000000</v>
      </c>
      <c r="E179" s="2">
        <v>59470000000</v>
      </c>
      <c r="F179" s="2">
        <v>39885000000</v>
      </c>
      <c r="H179" s="2">
        <v>107764000000</v>
      </c>
      <c r="I179" s="2">
        <v>38095000000</v>
      </c>
      <c r="J179" s="2">
        <v>34528000000</v>
      </c>
      <c r="K179" s="2">
        <v>46530000000</v>
      </c>
      <c r="L179" s="2">
        <v>10034000000</v>
      </c>
      <c r="M179" s="2">
        <v>9147000000</v>
      </c>
      <c r="N179" s="2">
        <v>1445000000</v>
      </c>
      <c r="O179" s="2">
        <v>11640000000</v>
      </c>
      <c r="P179" s="2">
        <v>1025000000</v>
      </c>
      <c r="Q179" s="2">
        <v>1071000000</v>
      </c>
      <c r="R179" s="2">
        <v>1575000000</v>
      </c>
      <c r="S179" s="2">
        <v>1430000000</v>
      </c>
      <c r="T179" s="2">
        <v>1305000000</v>
      </c>
      <c r="U179" s="2">
        <v>1884000000</v>
      </c>
      <c r="V179" s="2">
        <v>225000000</v>
      </c>
      <c r="W179" s="2">
        <v>140000000</v>
      </c>
      <c r="X179" s="2">
        <v>108000000</v>
      </c>
      <c r="Y179" s="2">
        <v>51000000</v>
      </c>
    </row>
    <row r="180">
      <c r="B180" t="str">
        <v>Akuisisi Entitas Anak, Se...</v>
      </c>
      <c r="M180" s="2">
        <v>-303726000000</v>
      </c>
      <c r="N180" s="2">
        <v>-924002000000</v>
      </c>
      <c r="P180" s="2">
        <v>-269936000000</v>
      </c>
      <c r="S180" s="2">
        <v>47693000000</v>
      </c>
      <c r="T180" s="2">
        <v>26574000000</v>
      </c>
    </row>
    <row r="181">
      <c r="B181" t="str">
        <v>Penempatan Sertifikat Dep...</v>
      </c>
      <c r="Q181" s="2">
        <v>-3939435000000</v>
      </c>
      <c r="R181" s="2">
        <v>-2288410000000</v>
      </c>
    </row>
    <row r="182">
      <c r="B182" t="str">
        <v>Penerimaan Dari Sertifika...</v>
      </c>
      <c r="Q182" s="2">
        <v>1745000000000</v>
      </c>
      <c r="R182" s="2">
        <v>1485000000000</v>
      </c>
    </row>
    <row r="183">
      <c r="B183" t="str">
        <v>Perolehan Aset Tetap</v>
      </c>
      <c r="C183" s="2">
        <v>-238418000000</v>
      </c>
      <c r="D183" s="2">
        <v>-1111396000000</v>
      </c>
      <c r="E183" s="2">
        <v>-399219000000</v>
      </c>
      <c r="F183" s="2">
        <v>-93300000000</v>
      </c>
      <c r="H183" s="2">
        <v>-1914929000000</v>
      </c>
      <c r="I183" s="2">
        <v>-3565731000000</v>
      </c>
      <c r="J183" s="2">
        <v>-4697731000000</v>
      </c>
      <c r="K183" s="2">
        <v>-2631226000000</v>
      </c>
      <c r="L183" s="2">
        <v>-3061820000000</v>
      </c>
      <c r="M183" s="2">
        <v>-2673737000000</v>
      </c>
      <c r="N183" s="2">
        <v>-2675281000000</v>
      </c>
      <c r="O183" s="2">
        <v>-2347223000000</v>
      </c>
      <c r="P183" s="2">
        <v>-1736651000000</v>
      </c>
      <c r="Q183" s="2">
        <v>-2728366000000</v>
      </c>
      <c r="R183" s="2">
        <v>-2533375000000</v>
      </c>
      <c r="S183" s="2">
        <v>-2661220000000</v>
      </c>
      <c r="T183" s="2">
        <v>-2937296000000</v>
      </c>
      <c r="U183" s="2">
        <v>-3211877000000</v>
      </c>
      <c r="V183" s="2">
        <v>-1727384000000</v>
      </c>
      <c r="W183" s="2">
        <v>-1118823000000</v>
      </c>
      <c r="X183" s="2">
        <v>-930497000000</v>
      </c>
      <c r="Y183" s="2">
        <v>-1014455000000</v>
      </c>
    </row>
    <row r="184">
      <c r="B184" t="str">
        <v>Perolehan Aset Sewa Guna</v>
      </c>
      <c r="C184" s="2">
        <v>-196795000000</v>
      </c>
      <c r="D184" s="2">
        <v>-236227000000</v>
      </c>
      <c r="E184" s="2">
        <v>-96184000000</v>
      </c>
      <c r="F184" s="2">
        <v>-81413000000</v>
      </c>
      <c r="H184" s="2">
        <v>-536281000000</v>
      </c>
      <c r="I184" s="2">
        <v>-607448000000</v>
      </c>
      <c r="J184" s="2">
        <v>-401617000000</v>
      </c>
      <c r="K184" s="2">
        <v>-723780000000</v>
      </c>
      <c r="L184" s="2">
        <v>-243632000000</v>
      </c>
    </row>
    <row r="185">
      <c r="B185" t="str">
        <v>Hasil Penjualan Aset Teta...</v>
      </c>
      <c r="C185" s="2">
        <v>822000000</v>
      </c>
      <c r="D185" s="2">
        <v>1072000000</v>
      </c>
      <c r="E185" s="2">
        <v>3609000000</v>
      </c>
      <c r="F185" s="2">
        <v>912000000</v>
      </c>
      <c r="H185" s="2">
        <v>5915000000</v>
      </c>
      <c r="I185" s="2">
        <v>6378000000</v>
      </c>
      <c r="J185" s="2">
        <v>22086000000</v>
      </c>
      <c r="K185" s="2">
        <v>5320000000</v>
      </c>
      <c r="L185" s="2">
        <v>15009000000</v>
      </c>
      <c r="M185" s="2">
        <v>9755000000</v>
      </c>
      <c r="N185" s="2">
        <v>36960000000</v>
      </c>
      <c r="O185" s="2">
        <v>10393000000</v>
      </c>
      <c r="P185" s="2">
        <v>505430000000</v>
      </c>
      <c r="Q185" s="2">
        <v>80123000000</v>
      </c>
      <c r="R185" s="2">
        <v>8817000000</v>
      </c>
      <c r="S185" s="2">
        <v>10097000000</v>
      </c>
      <c r="T185" s="2">
        <v>23482000000</v>
      </c>
      <c r="U185" s="2">
        <v>16894000000</v>
      </c>
      <c r="V185" s="2">
        <v>24191000000</v>
      </c>
      <c r="W185" s="2">
        <v>13389000000</v>
      </c>
      <c r="X185" s="2">
        <v>11045000000</v>
      </c>
      <c r="Y185" s="2">
        <v>13780000000</v>
      </c>
    </row>
    <row r="186">
      <c r="B186" t="str">
        <v>Hasil Penjualan Penyertaa...</v>
      </c>
    </row>
    <row r="187">
      <c r="B187" t="str">
        <v>Pembelian Penyertaan Dala...</v>
      </c>
      <c r="V187" s="2">
        <v>-205083000000</v>
      </c>
      <c r="W187" s="2">
        <v>-38932000000</v>
      </c>
      <c r="X187" s="2">
        <v>-212490000000</v>
      </c>
      <c r="Y187" s="2">
        <v>-25824000000</v>
      </c>
    </row>
    <row r="188">
      <c r="B188" t="str">
        <v>Penerimaan Dari Penjualan...</v>
      </c>
      <c r="W188" s="2">
        <v>24366000000</v>
      </c>
    </row>
    <row r="189">
      <c r="B189" t="str">
        <v>Pembelian Obligasi Pemeri...</v>
      </c>
      <c r="V189" s="2">
        <v>-938856000000</v>
      </c>
      <c r="W189" s="2">
        <v>-3912071000000</v>
      </c>
      <c r="X189" s="2">
        <v>-6530064000000</v>
      </c>
      <c r="Y189" s="2">
        <v>-9403737000000</v>
      </c>
    </row>
    <row r="190">
      <c r="B190" t="str">
        <v>Penerimaan Dari Obligasi ...</v>
      </c>
      <c r="O190" s="2">
        <v>500000000000</v>
      </c>
    </row>
    <row r="191">
      <c r="B191" t="str">
        <v>Pembelian Surat-Surat Ber...</v>
      </c>
      <c r="V191" s="2">
        <v>-2967801000000</v>
      </c>
      <c r="W191" s="2">
        <v>-2010438000000</v>
      </c>
    </row>
    <row r="192">
      <c r="B192" t="str">
        <v>Penerimaan Dari Surat-Sur...</v>
      </c>
      <c r="V192" s="2">
        <v>2287915000000</v>
      </c>
      <c r="W192" s="2">
        <v>1984364000000</v>
      </c>
    </row>
    <row r="193">
      <c r="B193" t="str">
        <v>Arus Kas Dari Aktivitas Pendana...</v>
      </c>
      <c r="C193" s="2">
        <v>-1072636000000</v>
      </c>
      <c r="D193" s="2">
        <v>-9012693000000</v>
      </c>
      <c r="E193" s="2">
        <v>386601000000</v>
      </c>
      <c r="F193" s="2">
        <v>-33080365000000</v>
      </c>
      <c r="H193" s="2">
        <v>-41708637000000</v>
      </c>
      <c r="I193" s="2">
        <v>-33328689000000</v>
      </c>
      <c r="J193" s="2">
        <v>-25070681000000</v>
      </c>
      <c r="K193" s="2">
        <v>-19116216000000</v>
      </c>
      <c r="L193" s="2">
        <v>-14098229000000</v>
      </c>
      <c r="M193" s="2">
        <v>-15553268000000</v>
      </c>
      <c r="N193" s="2">
        <v>-7334896000000</v>
      </c>
      <c r="O193" s="2">
        <v>-7297649000000</v>
      </c>
      <c r="P193" s="2">
        <v>-6655698000000</v>
      </c>
      <c r="Q193" s="2">
        <v>-3662059000000</v>
      </c>
      <c r="R193" s="2">
        <v>-4754155000000</v>
      </c>
      <c r="S193" s="2">
        <v>-2743308000000</v>
      </c>
      <c r="T193" s="2">
        <v>83951000000</v>
      </c>
      <c r="U193" s="2">
        <v>-1300874000000</v>
      </c>
      <c r="V193" s="2">
        <v>-2773338000000</v>
      </c>
      <c r="W193" s="2">
        <v>-3022702000000</v>
      </c>
      <c r="X193" s="2">
        <v>-3201329000000</v>
      </c>
      <c r="Y193" s="2">
        <v>-2858995000000</v>
      </c>
    </row>
    <row r="194">
      <c r="B194" t="str">
        <v>Kenaikan Efek-Efek Utang ...</v>
      </c>
      <c r="C194" s="2">
        <v>51324000000</v>
      </c>
      <c r="E194" s="2">
        <v>-435000000000</v>
      </c>
      <c r="H194" s="2">
        <v>-435000000000</v>
      </c>
      <c r="K194" s="2">
        <v>-483000000000</v>
      </c>
      <c r="L194" s="2">
        <v>-110000000000</v>
      </c>
      <c r="M194" s="2">
        <v>-762000000000</v>
      </c>
      <c r="N194" s="2">
        <v>1106617000000</v>
      </c>
      <c r="O194" s="2">
        <v>-370764000000</v>
      </c>
      <c r="P194" s="2">
        <v>-1721672000000</v>
      </c>
      <c r="Q194" s="2">
        <v>-488794000000</v>
      </c>
      <c r="R194" s="2">
        <v>317065000000</v>
      </c>
      <c r="S194" s="2">
        <v>-628946000000</v>
      </c>
      <c r="T194" s="2">
        <v>610970000000</v>
      </c>
      <c r="U194" s="2">
        <v>1039867000000</v>
      </c>
    </row>
    <row r="195">
      <c r="B195" t="str">
        <v>Penurunan (Kenaikan) Pinj...</v>
      </c>
      <c r="C195" s="2">
        <v>-19806000000</v>
      </c>
      <c r="D195" s="2">
        <v>1176790000000</v>
      </c>
      <c r="E195" s="2">
        <v>-143861000000</v>
      </c>
      <c r="F195" s="2">
        <v>-1796923000000</v>
      </c>
      <c r="H195" s="2">
        <v>-195080000000</v>
      </c>
      <c r="I195" s="2">
        <v>607711000000</v>
      </c>
      <c r="J195" s="2">
        <v>321154000000</v>
      </c>
      <c r="K195" s="2">
        <v>308738000000</v>
      </c>
      <c r="L195" s="2">
        <v>-332381000000</v>
      </c>
      <c r="M195" s="2">
        <v>-1021658000000</v>
      </c>
      <c r="N195" s="2">
        <v>242756000000</v>
      </c>
      <c r="O195" s="2">
        <v>-957816000000</v>
      </c>
      <c r="P195" s="2">
        <v>252050000000</v>
      </c>
      <c r="Q195" s="2">
        <v>1045215000000</v>
      </c>
      <c r="R195" s="2">
        <v>-1337605000000</v>
      </c>
      <c r="S195" s="2">
        <v>907514000000</v>
      </c>
      <c r="T195" s="2">
        <v>372934000000</v>
      </c>
      <c r="U195" s="2">
        <v>-312820000000</v>
      </c>
      <c r="V195" s="2">
        <v>-7883000000</v>
      </c>
      <c r="W195" s="2">
        <v>-281612000000</v>
      </c>
      <c r="X195" s="2">
        <v>282008000000</v>
      </c>
      <c r="Y195" s="2">
        <v>-635670000000</v>
      </c>
    </row>
    <row r="196">
      <c r="B196" t="str">
        <v>Penerimaan Dari Penambaha...</v>
      </c>
      <c r="K196" s="2">
        <v>7500000000</v>
      </c>
    </row>
    <row r="197">
      <c r="B197" t="str">
        <v>Efek-Efek Yang Dijual Den...</v>
      </c>
      <c r="D197" s="2">
        <v>-1510677000000</v>
      </c>
      <c r="E197" s="2">
        <v>965462000000</v>
      </c>
      <c r="F197" s="2">
        <v>-224686000000</v>
      </c>
      <c r="H197" s="2">
        <v>-1330996000000</v>
      </c>
      <c r="I197" s="2">
        <v>272426000000</v>
      </c>
      <c r="J197" s="2">
        <v>804113000000</v>
      </c>
      <c r="K197" s="2">
        <v>158179000000</v>
      </c>
      <c r="L197" s="2">
        <v>76992000000</v>
      </c>
      <c r="M197" s="2">
        <v>-135389000000</v>
      </c>
      <c r="N197" s="2">
        <v>68260000000</v>
      </c>
      <c r="O197" s="2">
        <v>-58767000000</v>
      </c>
      <c r="P197" s="2">
        <v>-38523000000</v>
      </c>
      <c r="Q197" s="2">
        <v>96146000000</v>
      </c>
      <c r="R197" s="2">
        <v>38602000000</v>
      </c>
    </row>
    <row r="198">
      <c r="B198" t="str">
        <v>Tambahan Setoran Modal Ke...</v>
      </c>
      <c r="P198" s="2">
        <v>30000000000</v>
      </c>
      <c r="S198" s="2">
        <v>60000000000</v>
      </c>
      <c r="T198" s="2">
        <v>27500000000</v>
      </c>
      <c r="U198" s="2">
        <v>50000000000</v>
      </c>
    </row>
    <row r="199">
      <c r="B199" t="str">
        <v>Pembayaran Dividen Kas</v>
      </c>
      <c r="D199" s="2">
        <v>-6776284000000</v>
      </c>
      <c r="F199" s="2">
        <v>-30818763000000</v>
      </c>
      <c r="H199" s="2">
        <v>-37595047000000</v>
      </c>
      <c r="I199" s="2">
        <v>-34208826000000</v>
      </c>
      <c r="J199" s="2">
        <v>-26195948000000</v>
      </c>
      <c r="K199" s="2">
        <v>-19107633000000</v>
      </c>
      <c r="L199" s="2">
        <v>-13732840000000</v>
      </c>
      <c r="M199" s="2">
        <v>-13634221000000</v>
      </c>
      <c r="N199" s="2">
        <v>-8752529000000</v>
      </c>
      <c r="O199" s="2">
        <v>-6410302000000</v>
      </c>
      <c r="P199" s="2">
        <v>-5177553000000</v>
      </c>
      <c r="Q199" s="2">
        <v>-4314626000000</v>
      </c>
      <c r="R199" s="2">
        <v>-3772217000000</v>
      </c>
      <c r="S199" s="2">
        <v>-3081876000000</v>
      </c>
      <c r="T199" s="2">
        <v>-2859981000000</v>
      </c>
      <c r="U199" s="2">
        <v>-2769413000000</v>
      </c>
      <c r="V199" s="2">
        <v>-2765455000000</v>
      </c>
      <c r="W199" s="2">
        <v>-2741090000000</v>
      </c>
      <c r="X199" s="2">
        <v>-3411135000000</v>
      </c>
      <c r="Y199" s="2">
        <v>-1549623000000</v>
      </c>
    </row>
    <row r="200">
      <c r="B200" t="str">
        <v>Hasil Penjualan Saham Tre...</v>
      </c>
      <c r="T200" s="2">
        <v>1932528000000</v>
      </c>
      <c r="U200" s="2">
        <v>691492000000</v>
      </c>
    </row>
    <row r="201">
      <c r="B201" t="str">
        <v>Pembayaran Tantieme Dewan...</v>
      </c>
      <c r="X201" s="2">
        <v>-72202000000</v>
      </c>
      <c r="Y201" s="2">
        <v>-56113000000</v>
      </c>
    </row>
    <row r="202">
      <c r="B202" t="str">
        <v>Pembelian Kembali Saham B...</v>
      </c>
      <c r="C202" s="2">
        <v>-1104154000000</v>
      </c>
      <c r="D202" s="2">
        <v>-1902522000000</v>
      </c>
      <c r="F202" s="2">
        <v>-239993000000</v>
      </c>
      <c r="H202" s="2">
        <v>-2152514000000</v>
      </c>
      <c r="Y202" s="2">
        <v>-617589000000</v>
      </c>
    </row>
    <row r="203">
      <c r="B203" t="str">
        <v>Kenaikan (Penurunan) Bersih Kas...</v>
      </c>
      <c r="C203" s="2">
        <v>29860717000000</v>
      </c>
      <c r="D203" s="2">
        <v>-12666723000000</v>
      </c>
      <c r="E203" s="2">
        <v>-6141272000000</v>
      </c>
      <c r="F203" s="2">
        <v>-9963149000000</v>
      </c>
      <c r="H203" s="2">
        <v>2109222000000</v>
      </c>
      <c r="I203" s="2">
        <v>-38456966000000</v>
      </c>
      <c r="J203" s="2">
        <v>-36751964000000</v>
      </c>
      <c r="K203" s="2">
        <v>-17719939000000</v>
      </c>
      <c r="L203" s="2">
        <v>70840231000000</v>
      </c>
      <c r="M203" s="2">
        <v>-8692237000000</v>
      </c>
      <c r="N203" s="2">
        <v>9874730000000</v>
      </c>
      <c r="O203" s="2">
        <v>18242567000000</v>
      </c>
      <c r="P203" s="2">
        <v>-17617091000000</v>
      </c>
      <c r="Q203" s="2">
        <v>-18590952000000</v>
      </c>
      <c r="R203" s="2">
        <v>43640713000000</v>
      </c>
      <c r="S203" s="2">
        <v>7339476000000</v>
      </c>
      <c r="T203" s="2">
        <v>-8718266000000</v>
      </c>
      <c r="U203" s="2">
        <v>28466425000000</v>
      </c>
      <c r="V203" s="2">
        <v>-36684982000000</v>
      </c>
      <c r="W203" s="2">
        <v>-5310046000000</v>
      </c>
      <c r="X203" s="2">
        <v>3944253000000</v>
      </c>
      <c r="Y203" s="2">
        <v>-397755000000</v>
      </c>
    </row>
    <row r="204">
      <c r="B204" t="str">
        <v>Kas Dan Setara Kas Awal Periode</v>
      </c>
      <c r="C204" s="2">
        <v>87549328000000</v>
      </c>
      <c r="H204" s="2">
        <v>85482530000000</v>
      </c>
      <c r="I204" s="2">
        <v>124395987000000</v>
      </c>
      <c r="J204" s="2">
        <v>160422371000000</v>
      </c>
      <c r="K204" s="2">
        <v>177268685000000</v>
      </c>
      <c r="L204" s="2">
        <v>106271237000000</v>
      </c>
      <c r="M204" s="2">
        <v>113067545000000</v>
      </c>
      <c r="N204" s="2">
        <v>103311560000000</v>
      </c>
      <c r="O204" s="2">
        <v>83377439000000</v>
      </c>
      <c r="P204" s="2">
        <v>100319853000000</v>
      </c>
      <c r="Q204" s="2">
        <v>118661241000000</v>
      </c>
      <c r="R204" s="2">
        <v>74475895000000</v>
      </c>
      <c r="S204" s="2">
        <v>67156327000000</v>
      </c>
      <c r="T204" s="2">
        <v>76894602000000</v>
      </c>
      <c r="U204" s="2">
        <v>49176049000000</v>
      </c>
      <c r="V204" s="2">
        <v>86795966000000</v>
      </c>
      <c r="W204" s="2">
        <v>92106012000000</v>
      </c>
      <c r="X204" s="2">
        <v>28456580000000</v>
      </c>
      <c r="Y204" s="2">
        <v>28854335000000</v>
      </c>
    </row>
    <row r="205">
      <c r="B205" t="str">
        <v>Dampak Neto Perubahan Nilai Tuk...</v>
      </c>
      <c r="C205" s="2">
        <v>-344548000000</v>
      </c>
      <c r="D205" s="2">
        <v>13903000000</v>
      </c>
      <c r="E205" s="2">
        <v>-441894000000</v>
      </c>
      <c r="F205" s="2">
        <v>716135000000</v>
      </c>
      <c r="H205" s="2">
        <v>-42424000000</v>
      </c>
      <c r="I205" s="2">
        <v>-456491000000</v>
      </c>
      <c r="J205" s="2">
        <v>725580000000</v>
      </c>
      <c r="K205" s="2">
        <v>873625000000</v>
      </c>
      <c r="L205" s="2">
        <v>157217000000</v>
      </c>
      <c r="M205" s="2">
        <v>1895929000000</v>
      </c>
      <c r="N205" s="2">
        <v>-118745000000</v>
      </c>
      <c r="O205" s="2">
        <v>1691554000000</v>
      </c>
      <c r="P205" s="2">
        <v>674677000000</v>
      </c>
      <c r="Q205" s="2">
        <v>249564000000</v>
      </c>
      <c r="R205" s="2">
        <v>544633000000</v>
      </c>
      <c r="S205" s="2">
        <v>-19908000000</v>
      </c>
      <c r="T205" s="2">
        <v>-1020009000000</v>
      </c>
      <c r="U205" s="2">
        <v>-747872000000</v>
      </c>
      <c r="V205" s="2">
        <v>-934935000000</v>
      </c>
    </row>
    <row r="206">
      <c r="B206" t="str">
        <v>Kas Dan Setara Kas Akhir Period...</v>
      </c>
      <c r="C206" s="2">
        <v>117065497000000</v>
      </c>
      <c r="D206" s="2">
        <v>-12652820000000</v>
      </c>
      <c r="E206" s="2">
        <v>-6583166000000</v>
      </c>
      <c r="F206" s="2">
        <v>-9247014000000</v>
      </c>
      <c r="H206" s="2">
        <v>87549328000000</v>
      </c>
      <c r="I206" s="2">
        <v>85482530000000</v>
      </c>
      <c r="J206" s="2">
        <v>124395987000000</v>
      </c>
      <c r="K206" s="2">
        <v>160422371000000</v>
      </c>
      <c r="L206" s="2">
        <v>177268685000000</v>
      </c>
      <c r="M206" s="2">
        <v>106271237000000</v>
      </c>
      <c r="N206" s="2">
        <v>113067545000000</v>
      </c>
      <c r="O206" s="2">
        <v>103311560000000</v>
      </c>
      <c r="P206" s="2">
        <v>83377439000000</v>
      </c>
      <c r="Q206" s="2">
        <v>100319853000000</v>
      </c>
      <c r="R206" s="2">
        <v>118661241000000</v>
      </c>
      <c r="S206" s="2">
        <v>74475895000000</v>
      </c>
      <c r="T206" s="2">
        <v>67156327000000</v>
      </c>
      <c r="U206" s="2">
        <v>76894602000000</v>
      </c>
      <c r="V206" s="2">
        <v>49176049000000</v>
      </c>
      <c r="W206" s="2">
        <v>86795966000000</v>
      </c>
      <c r="X206" s="2">
        <v>32400833000000</v>
      </c>
      <c r="Y206" s="2">
        <v>28456580000000</v>
      </c>
    </row>
    <row r="208">
      <c r="A208" t="str">
        <v>Key Ratio</v>
      </c>
      <c r="B208" t="str">
        <v>Share Outstanding</v>
      </c>
      <c r="C208" t="str">
        <v>123.28 B</v>
      </c>
      <c r="D208" t="str">
        <v>123.28 B</v>
      </c>
      <c r="E208" t="str">
        <v>123.28 B</v>
      </c>
      <c r="F208" t="str">
        <v>123.28 B</v>
      </c>
      <c r="H208" t="str">
        <v>123.28 B</v>
      </c>
      <c r="I208" t="str">
        <v>123.28 B</v>
      </c>
      <c r="J208" t="str">
        <v>123.28 B</v>
      </c>
      <c r="K208" t="str">
        <v>123.28 B</v>
      </c>
      <c r="L208" t="str">
        <v>123.28 B</v>
      </c>
      <c r="M208" t="str">
        <v>24.66 B</v>
      </c>
      <c r="N208" t="str">
        <v>24.66 B</v>
      </c>
      <c r="O208" t="str">
        <v>24.66 B</v>
      </c>
      <c r="P208" t="str">
        <v>24.66 B</v>
      </c>
      <c r="Q208" t="str">
        <v>24.66 B</v>
      </c>
      <c r="R208" t="str">
        <v>24.66 B</v>
      </c>
      <c r="S208" t="str">
        <v>24.66 B</v>
      </c>
      <c r="T208" t="str">
        <v>24.66 B</v>
      </c>
      <c r="U208" t="str">
        <v>24.66 B</v>
      </c>
      <c r="V208" t="str">
        <v>24.66 B</v>
      </c>
      <c r="W208" t="str">
        <v>24.66 B</v>
      </c>
      <c r="X208" t="str">
        <v>24.66 B</v>
      </c>
      <c r="Y208" t="str">
        <v>24.66 B</v>
      </c>
    </row>
    <row r="209">
      <c r="B209" t="str">
        <v>EPS (Quarter)</v>
      </c>
      <c r="C209" t="str">
        <v>119.12</v>
      </c>
      <c r="D209" t="str">
        <v>114.70</v>
      </c>
      <c r="E209" t="str">
        <v>116.66</v>
      </c>
      <c r="F209" t="str">
        <v>120.63</v>
      </c>
    </row>
    <row r="210">
      <c r="B210" t="str">
        <v>PE Ratio (Quarter)</v>
      </c>
      <c r="C210" t="str">
        <v>54.15</v>
      </c>
      <c r="D210" t="str">
        <v>70.40</v>
      </c>
      <c r="E210" t="str">
        <v>65.36</v>
      </c>
      <c r="F210" t="str">
        <v>71.91</v>
      </c>
    </row>
    <row r="211">
      <c r="B211" t="str">
        <v>Price to Sales (Quarter)</v>
      </c>
      <c r="C211" t="str">
        <v>26.81</v>
      </c>
      <c r="D211" t="str">
        <v>36.67</v>
      </c>
      <c r="E211" t="str">
        <v>30.44</v>
      </c>
      <c r="F211" t="str">
        <v>33.92</v>
      </c>
    </row>
    <row r="212">
      <c r="B212" t="str">
        <v>EBITDA (Quarter)</v>
      </c>
      <c r="C212" t="str">
        <v>18,814.98 B</v>
      </c>
      <c r="D212" t="str">
        <v>18,122.51 B</v>
      </c>
      <c r="E212" t="str">
        <v>18,637.07 B</v>
      </c>
      <c r="F212" t="str">
        <v>18,997.43 B</v>
      </c>
    </row>
    <row r="213">
      <c r="B213" t="str">
        <v>Return on Assets (Quarter)</v>
      </c>
      <c r="C213" t="str">
        <v>0.89%</v>
      </c>
      <c r="D213" t="str">
        <v>0.89%</v>
      </c>
      <c r="E213" t="str">
        <v>0.93%</v>
      </c>
      <c r="F213" t="str">
        <v>0.99%</v>
      </c>
    </row>
    <row r="214">
      <c r="B214" t="str">
        <v>Return on Equity (Quarter)</v>
      </c>
      <c r="C214" t="str">
        <v>5.67%</v>
      </c>
      <c r="D214" t="str">
        <v>5.02%</v>
      </c>
      <c r="E214" t="str">
        <v>5.20%</v>
      </c>
      <c r="F214" t="str">
        <v>5.68%</v>
      </c>
    </row>
    <row r="215">
      <c r="B215" t="str">
        <v>Return on Capital Employed (Quarter)</v>
      </c>
      <c r="C215" t="str">
        <v>1.12%</v>
      </c>
      <c r="D215" t="str">
        <v>1.12%</v>
      </c>
      <c r="E215" t="str">
        <v>1.18%</v>
      </c>
      <c r="F215" t="str">
        <v>1.21%</v>
      </c>
    </row>
    <row r="216">
      <c r="B216" t="str">
        <v>Interest Coverage (Quarter)</v>
      </c>
    </row>
    <row r="217">
      <c r="B217" t="str">
        <v>Total Equity (Quarter)</v>
      </c>
      <c r="C217" t="str">
        <v>259,359 B</v>
      </c>
      <c r="D217" t="str">
        <v>281,688 B</v>
      </c>
      <c r="E217" t="str">
        <v>276,635 B</v>
      </c>
      <c r="F217" t="str">
        <v>261,801 B</v>
      </c>
    </row>
    <row r="218">
      <c r="B218" t="str">
        <v>Price to Book Value (Quarter)</v>
      </c>
      <c r="C218" t="str">
        <v>3.07</v>
      </c>
      <c r="D218" t="str">
        <v>3.54</v>
      </c>
      <c r="E218" t="str">
        <v>3.40</v>
      </c>
      <c r="F218" t="str">
        <v>4.09</v>
      </c>
    </row>
    <row r="219">
      <c r="B219" t="str">
        <v>Book Value Per Share (Quarter)</v>
      </c>
      <c r="C219" t="str">
        <v>2102.07</v>
      </c>
      <c r="D219" t="str">
        <v>2283.24</v>
      </c>
      <c r="E219" t="str">
        <v>2242.27</v>
      </c>
      <c r="F219" t="str">
        <v>2122.05</v>
      </c>
    </row>
    <row r="220">
      <c r="B220" t="str">
        <v>Price to Tang. Book Value (Quarter)</v>
      </c>
      <c r="C220" t="str">
        <v>3.09</v>
      </c>
      <c r="D220" t="str">
        <v>3.56</v>
      </c>
      <c r="E220" t="str">
        <v>3.42</v>
      </c>
      <c r="F220" t="str">
        <v>4.12</v>
      </c>
    </row>
    <row r="221">
      <c r="B221" t="str">
        <v>Tang. Book Value Per Share (Quarter)</v>
      </c>
      <c r="C221" t="str">
        <v>2087.99</v>
      </c>
      <c r="D221" t="str">
        <v>2268.81</v>
      </c>
      <c r="E221" t="str">
        <v>2228.16</v>
      </c>
      <c r="F221" t="str">
        <v>2107.86</v>
      </c>
    </row>
    <row r="222">
      <c r="B222" t="str">
        <v>Short-term Debt (Quarter)</v>
      </c>
    </row>
    <row r="223">
      <c r="B223" t="str">
        <v>Long-term Debt (Quarter)</v>
      </c>
    </row>
    <row r="224">
      <c r="B224" t="str">
        <v>Common Equity</v>
      </c>
      <c r="C224" t="str">
        <v>259,132 B</v>
      </c>
      <c r="D224" t="str">
        <v>281,466 B</v>
      </c>
      <c r="E224" t="str">
        <v>276,416 B</v>
      </c>
      <c r="F224" t="str">
        <v>261,596 B</v>
      </c>
    </row>
    <row r="225">
      <c r="B225" t="str">
        <v>Total Debt (Quarter)</v>
      </c>
    </row>
    <row r="226">
      <c r="B226" t="str">
        <v>Net Debt (Quarter)</v>
      </c>
    </row>
    <row r="227">
      <c r="B227" t="str">
        <v>Working Capital (Quarter)</v>
      </c>
    </row>
    <row r="228">
      <c r="B228" t="str">
        <v>Operating Cash Flow (Quarter)</v>
      </c>
      <c r="C228" t="str">
        <v>47,921 B</v>
      </c>
      <c r="D228" t="str">
        <v>11,577 B</v>
      </c>
      <c r="E228" t="str">
        <v>25,009 B</v>
      </c>
      <c r="F228" t="str">
        <v>5,740 B</v>
      </c>
    </row>
    <row r="229">
      <c r="B229" t="str">
        <v>Capital expenditure (Quarter)</v>
      </c>
      <c r="C229" t="str">
        <v>(238 B)</v>
      </c>
      <c r="D229" t="str">
        <v>(1,111 B)</v>
      </c>
      <c r="E229" t="str">
        <v>(399 B)</v>
      </c>
      <c r="F229" t="str">
        <v>(93 B)</v>
      </c>
    </row>
    <row r="230">
      <c r="B230" t="str">
        <v>Free cash flow (Quarter)</v>
      </c>
      <c r="C230" t="str">
        <v>47,682 B</v>
      </c>
      <c r="D230" t="str">
        <v>10,465 B</v>
      </c>
      <c r="E230" t="str">
        <v>24,610 B</v>
      </c>
      <c r="F230" t="str">
        <v>5,647 B</v>
      </c>
    </row>
    <row r="231">
      <c r="B231" t="str">
        <v>Free cash flow per share (Quarter)</v>
      </c>
      <c r="C231" t="str">
        <v>386.80</v>
      </c>
      <c r="D231" t="str">
        <v>84.89</v>
      </c>
      <c r="E231" t="str">
        <v>199.63</v>
      </c>
      <c r="F231" t="str">
        <v>45.80</v>
      </c>
    </row>
    <row r="232">
      <c r="B232" t="str">
        <v>EPS (Annual)</v>
      </c>
      <c r="H232" t="str">
        <v>466.74</v>
      </c>
      <c r="I232" t="str">
        <v>444.83</v>
      </c>
      <c r="J232" t="str">
        <v>394.56</v>
      </c>
      <c r="K232" t="str">
        <v>330.45</v>
      </c>
      <c r="L232" t="str">
        <v>254.90</v>
      </c>
      <c r="M232" t="str">
        <v>1100.43</v>
      </c>
      <c r="N232" t="str">
        <v>1158.59</v>
      </c>
      <c r="O232" t="str">
        <v>1048.68</v>
      </c>
      <c r="P232" t="str">
        <v>945.45</v>
      </c>
      <c r="Q232" t="str">
        <v>835.76</v>
      </c>
      <c r="R232" t="str">
        <v>730.83</v>
      </c>
      <c r="S232" t="str">
        <v>668.66</v>
      </c>
      <c r="T232" t="str">
        <v>578.13</v>
      </c>
      <c r="U232" t="str">
        <v>475.43</v>
      </c>
      <c r="V232" t="str">
        <v>438.83</v>
      </c>
      <c r="W232" t="str">
        <v>343.92</v>
      </c>
      <c r="X232" t="str">
        <v>276.10</v>
      </c>
      <c r="Y232" t="str">
        <v>234.28</v>
      </c>
    </row>
    <row r="233">
      <c r="B233" t="str">
        <v>PE Ratio (Annual)</v>
      </c>
      <c r="H233" t="str">
        <v>17.30</v>
      </c>
      <c r="I233" t="str">
        <v>21.75</v>
      </c>
      <c r="J233" t="str">
        <v>23.82</v>
      </c>
      <c r="K233" t="str">
        <v>25.87</v>
      </c>
      <c r="L233" t="str">
        <v>28.64</v>
      </c>
      <c r="M233" t="str">
        <v>30.76</v>
      </c>
      <c r="N233" t="str">
        <v>28.85</v>
      </c>
      <c r="O233" t="str">
        <v>24.79</v>
      </c>
      <c r="P233" t="str">
        <v>23.16</v>
      </c>
      <c r="Q233" t="str">
        <v>18.55</v>
      </c>
      <c r="R233" t="str">
        <v>18.20</v>
      </c>
      <c r="S233" t="str">
        <v>19.63</v>
      </c>
      <c r="T233" t="str">
        <v>16.61</v>
      </c>
      <c r="U233" t="str">
        <v>19.14</v>
      </c>
      <c r="V233" t="str">
        <v>18.23</v>
      </c>
      <c r="W233" t="str">
        <v>18.61</v>
      </c>
      <c r="X233" t="str">
        <v>17.57</v>
      </c>
      <c r="Y233" t="str">
        <v>13.87</v>
      </c>
    </row>
    <row r="234">
      <c r="B234" t="str">
        <v>Price to Sales (Annual)</v>
      </c>
      <c r="H234" t="str">
        <v>8.40</v>
      </c>
      <c r="I234" t="str">
        <v>10.58</v>
      </c>
      <c r="J234" t="str">
        <v>11.14</v>
      </c>
      <c r="K234" t="str">
        <v>11.87</v>
      </c>
      <c r="L234" t="str">
        <v>11.21</v>
      </c>
      <c r="M234" t="str">
        <v>10.62</v>
      </c>
      <c r="N234" t="str">
        <v>10.64</v>
      </c>
      <c r="O234" t="str">
        <v>9.32</v>
      </c>
      <c r="P234" t="str">
        <v>8.42</v>
      </c>
      <c r="Q234" t="str">
        <v>6.39</v>
      </c>
      <c r="R234" t="str">
        <v>5.70</v>
      </c>
      <c r="S234" t="str">
        <v>6.24</v>
      </c>
      <c r="T234" t="str">
        <v>5.76</v>
      </c>
      <c r="U234" t="str">
        <v>6.42</v>
      </c>
      <c r="V234" t="str">
        <v>8.03</v>
      </c>
      <c r="W234" t="str">
        <v>7.64</v>
      </c>
      <c r="X234" t="str">
        <v>5.21</v>
      </c>
      <c r="Y234" t="str">
        <v>4.15</v>
      </c>
    </row>
    <row r="235">
      <c r="B235" t="str">
        <v>EBITDA (Annual)</v>
      </c>
      <c r="H235" t="str">
        <v>73,862.91 B</v>
      </c>
      <c r="I235" t="str">
        <v>70,385.40 B</v>
      </c>
      <c r="J235" t="str">
        <v>63,391.24 B</v>
      </c>
      <c r="K235" t="str">
        <v>53,129.22 B</v>
      </c>
      <c r="L235" t="str">
        <v>41,288.36 B</v>
      </c>
      <c r="M235" t="str">
        <v>36,113.52 B</v>
      </c>
      <c r="N235" t="str">
        <v>38,304.61 B</v>
      </c>
      <c r="O235" t="str">
        <v>34,787.67 B</v>
      </c>
    </row>
    <row r="236">
      <c r="B236" t="str">
        <v>Return on Assets (Annual)</v>
      </c>
      <c r="H236" t="str">
        <v>3.63%</v>
      </c>
      <c r="I236" t="str">
        <v>3.78%</v>
      </c>
      <c r="J236" t="str">
        <v>3.45%</v>
      </c>
      <c r="K236" t="str">
        <v>3.10%</v>
      </c>
      <c r="L236" t="str">
        <v>2.56%</v>
      </c>
      <c r="M236" t="str">
        <v>2.52%</v>
      </c>
      <c r="N236" t="str">
        <v>3.11%</v>
      </c>
      <c r="O236" t="str">
        <v>3.13%</v>
      </c>
      <c r="P236" t="str">
        <v>3.11%</v>
      </c>
      <c r="Q236" t="str">
        <v>3.04%</v>
      </c>
      <c r="R236" t="str">
        <v>3.03%</v>
      </c>
      <c r="S236" t="str">
        <v>2.98%</v>
      </c>
      <c r="T236" t="str">
        <v>2.87%</v>
      </c>
      <c r="U236" t="str">
        <v>2.65%</v>
      </c>
      <c r="V236" t="str">
        <v>2.83%</v>
      </c>
      <c r="W236" t="str">
        <v>2.61%</v>
      </c>
      <c r="X236" t="str">
        <v>2.41%</v>
      </c>
      <c r="Y236" t="str">
        <v>2.35%</v>
      </c>
    </row>
    <row r="237">
      <c r="B237" t="str">
        <v>Return on Equity (Annual)</v>
      </c>
      <c r="H237" t="str">
        <v>20.44%</v>
      </c>
      <c r="I237" t="str">
        <v>20.88%</v>
      </c>
      <c r="J237" t="str">
        <v>20.07%</v>
      </c>
      <c r="K237" t="str">
        <v>18.43%</v>
      </c>
      <c r="L237" t="str">
        <v>15.50%</v>
      </c>
      <c r="M237" t="str">
        <v>14.70%</v>
      </c>
      <c r="N237" t="str">
        <v>16.41%</v>
      </c>
      <c r="O237" t="str">
        <v>17.05%</v>
      </c>
      <c r="P237" t="str">
        <v>17.75%</v>
      </c>
      <c r="Q237" t="str">
        <v>18.33%</v>
      </c>
      <c r="R237" t="str">
        <v>20.16%</v>
      </c>
      <c r="S237" t="str">
        <v>21.22%</v>
      </c>
      <c r="T237" t="str">
        <v>22.32%</v>
      </c>
      <c r="U237" t="str">
        <v>22.62%</v>
      </c>
      <c r="V237" t="str">
        <v>25.76%</v>
      </c>
      <c r="W237" t="str">
        <v>24.86%</v>
      </c>
      <c r="X237" t="str">
        <v>24.44%</v>
      </c>
      <c r="Y237" t="str">
        <v>24.81%</v>
      </c>
    </row>
    <row r="238">
      <c r="B238" t="str">
        <v>Return on Capital Employed (Annual)</v>
      </c>
      <c r="H238" t="str">
        <v>4.69%</v>
      </c>
      <c r="I238" t="str">
        <v>4.77%</v>
      </c>
      <c r="J238" t="str">
        <v>4.42%</v>
      </c>
      <c r="K238" t="str">
        <v>3.97%</v>
      </c>
      <c r="L238" t="str">
        <v>3.37%</v>
      </c>
      <c r="M238" t="str">
        <v>3.37%</v>
      </c>
      <c r="N238" t="str">
        <v>4.16%</v>
      </c>
      <c r="O238" t="str">
        <v>4.15%</v>
      </c>
      <c r="P238" t="str">
        <v>4.09%</v>
      </c>
      <c r="Q238" t="str">
        <v>4.07%</v>
      </c>
      <c r="R238" t="str">
        <v>3.95%</v>
      </c>
      <c r="S238" t="str">
        <v>3.91%</v>
      </c>
      <c r="T238" t="str">
        <v>3.64%</v>
      </c>
      <c r="U238" t="str">
        <v>3.46%</v>
      </c>
      <c r="V238" t="str">
        <v>3.77%</v>
      </c>
      <c r="W238" t="str">
        <v>3.43%</v>
      </c>
      <c r="X238" t="str">
        <v>3.23%</v>
      </c>
      <c r="Y238" t="str">
        <v>6.24%</v>
      </c>
    </row>
    <row r="239">
      <c r="B239" t="str">
        <v>Interest Coverage (Annual)</v>
      </c>
    </row>
    <row r="240">
      <c r="B240" t="str">
        <v>Price to Book Value (Annual)</v>
      </c>
      <c r="H240" t="str">
        <v>3.54</v>
      </c>
      <c r="I240" t="str">
        <v>4.54</v>
      </c>
      <c r="J240" t="str">
        <v>4.78</v>
      </c>
      <c r="K240" t="str">
        <v>4.77</v>
      </c>
      <c r="L240" t="str">
        <v>4.44</v>
      </c>
      <c r="M240" t="str">
        <v>4.52</v>
      </c>
      <c r="N240" t="str">
        <v>4.74</v>
      </c>
      <c r="O240" t="str">
        <v>4.23</v>
      </c>
      <c r="P240" t="str">
        <v>4.11</v>
      </c>
      <c r="Q240" t="str">
        <v>3.40</v>
      </c>
      <c r="R240" t="str">
        <v>3.67</v>
      </c>
      <c r="S240" t="str">
        <v>4.17</v>
      </c>
      <c r="T240" t="str">
        <v>3.71</v>
      </c>
      <c r="U240" t="str">
        <v>4.33</v>
      </c>
      <c r="V240" t="str">
        <v>4.70</v>
      </c>
      <c r="W240" t="str">
        <v>4.63</v>
      </c>
      <c r="X240" t="str">
        <v>4.29</v>
      </c>
      <c r="Y240" t="str">
        <v>3.44</v>
      </c>
    </row>
    <row r="241">
      <c r="B241" t="str">
        <v>Book Value Per Share (Annual)</v>
      </c>
      <c r="H241" t="str">
        <v>2283.24</v>
      </c>
      <c r="I241" t="str">
        <v>2130.53</v>
      </c>
      <c r="J241" t="str">
        <v>1965.98</v>
      </c>
      <c r="K241" t="str">
        <v>1792.89</v>
      </c>
      <c r="L241" t="str">
        <v>1644.39</v>
      </c>
      <c r="M241" t="str">
        <v>7487.17</v>
      </c>
      <c r="N241" t="str">
        <v>7059.13</v>
      </c>
      <c r="O241" t="str">
        <v>6151.27</v>
      </c>
      <c r="P241" t="str">
        <v>5325.63</v>
      </c>
      <c r="Q241" t="str">
        <v>4560.25</v>
      </c>
      <c r="R241" t="str">
        <v>3624.80</v>
      </c>
      <c r="S241" t="str">
        <v>3150.80</v>
      </c>
      <c r="T241" t="str">
        <v>2590.37</v>
      </c>
      <c r="U241" t="str">
        <v>2102.08</v>
      </c>
      <c r="V241" t="str">
        <v>1703.63</v>
      </c>
      <c r="W241" t="str">
        <v>1383.40</v>
      </c>
      <c r="X241" t="str">
        <v>1129.86</v>
      </c>
      <c r="Y241" t="str">
        <v>944.20</v>
      </c>
    </row>
    <row r="242">
      <c r="B242" t="str">
        <v>Price to Tang. Book Value (Annual)</v>
      </c>
      <c r="H242" t="str">
        <v>3.56</v>
      </c>
      <c r="I242" t="str">
        <v>4.57</v>
      </c>
      <c r="J242" t="str">
        <v>4.81</v>
      </c>
      <c r="K242" t="str">
        <v>4.80</v>
      </c>
      <c r="L242" t="str">
        <v>4.47</v>
      </c>
      <c r="M242" t="str">
        <v>4.56</v>
      </c>
      <c r="N242" t="str">
        <v>4.77</v>
      </c>
      <c r="O242" t="str">
        <v>4.25</v>
      </c>
      <c r="P242" t="str">
        <v>4.11</v>
      </c>
      <c r="Q242" t="str">
        <v>3.40</v>
      </c>
      <c r="R242" t="str">
        <v>3.67</v>
      </c>
      <c r="S242" t="str">
        <v>4.17</v>
      </c>
      <c r="T242" t="str">
        <v>3.71</v>
      </c>
      <c r="U242" t="str">
        <v>4.33</v>
      </c>
      <c r="V242" t="str">
        <v>4.70</v>
      </c>
      <c r="W242" t="str">
        <v>4.63</v>
      </c>
      <c r="X242" t="str">
        <v>4.29</v>
      </c>
      <c r="Y242" t="str">
        <v>3.44</v>
      </c>
    </row>
    <row r="243">
      <c r="B243" t="str">
        <v>Tang. Book Value Per Share (Annual)</v>
      </c>
      <c r="H243" t="str">
        <v>2268.81</v>
      </c>
      <c r="I243" t="str">
        <v>2115.88</v>
      </c>
      <c r="J243" t="str">
        <v>1953.29</v>
      </c>
      <c r="K243" t="str">
        <v>1780.18</v>
      </c>
      <c r="L243" t="str">
        <v>1631.56</v>
      </c>
      <c r="M243" t="str">
        <v>7421.08</v>
      </c>
      <c r="N243" t="str">
        <v>7003.26</v>
      </c>
      <c r="O243" t="str">
        <v>6123.72</v>
      </c>
      <c r="P243" t="str">
        <v>5325.63</v>
      </c>
      <c r="Q243" t="str">
        <v>4560.25</v>
      </c>
      <c r="R243" t="str">
        <v>3624.80</v>
      </c>
      <c r="S243" t="str">
        <v>3150.80</v>
      </c>
      <c r="T243" t="str">
        <v>2590.37</v>
      </c>
      <c r="U243" t="str">
        <v>2102.08</v>
      </c>
      <c r="V243" t="str">
        <v>1703.63</v>
      </c>
      <c r="W243" t="str">
        <v>1383.40</v>
      </c>
      <c r="X243" t="str">
        <v>1129.86</v>
      </c>
      <c r="Y243" t="str">
        <v>944.20</v>
      </c>
    </row>
    <row r="244">
      <c r="B244" t="str">
        <v>Short-term Debt (Annual)</v>
      </c>
    </row>
    <row r="245">
      <c r="B245" t="str">
        <v>Long-term Debt (Annual)</v>
      </c>
    </row>
    <row r="246">
      <c r="B246" t="str">
        <v>Total Debt (Annual)</v>
      </c>
    </row>
    <row r="247">
      <c r="B247" t="str">
        <v>Net Debt (Annual)</v>
      </c>
    </row>
    <row r="248">
      <c r="B248" t="str">
        <v>Working capital (Annual)</v>
      </c>
    </row>
    <row r="249">
      <c r="B249" t="str">
        <v>Operating Cash Flow (Annual)</v>
      </c>
      <c r="H249" t="str">
        <v>77,509 B</v>
      </c>
      <c r="I249" t="str">
        <v>53,820 B</v>
      </c>
      <c r="J249" t="str">
        <v>58,115 B</v>
      </c>
      <c r="K249" t="str">
        <v>33,779 B</v>
      </c>
      <c r="L249" t="str">
        <v>126,186 B</v>
      </c>
      <c r="M249" t="str">
        <v>50,979 B</v>
      </c>
      <c r="N249" t="str">
        <v>51,942 B</v>
      </c>
      <c r="O249" t="str">
        <v>4,913 B</v>
      </c>
      <c r="P249" t="str">
        <v>9,659 B</v>
      </c>
      <c r="Q249" t="str">
        <v>45,667 B</v>
      </c>
      <c r="R249" t="str">
        <v>29,459 B</v>
      </c>
      <c r="S249" t="str">
        <v>35,137 B</v>
      </c>
      <c r="T249" t="str">
        <v>(4,190 B)</v>
      </c>
      <c r="U249" t="str">
        <v>27,715 B</v>
      </c>
      <c r="V249" t="str">
        <v>(37,229 B)</v>
      </c>
      <c r="W249" t="str">
        <v>2,712 B</v>
      </c>
      <c r="X249" t="str">
        <v>(18,660 B)</v>
      </c>
      <c r="Y249" t="str">
        <v>(1,744 B)</v>
      </c>
    </row>
    <row r="250">
      <c r="B250" t="str">
        <v>Capital expenditure (Annual)</v>
      </c>
      <c r="H250" t="str">
        <v>(1,915 B)</v>
      </c>
      <c r="I250" t="str">
        <v>(3,566 B)</v>
      </c>
      <c r="J250" t="str">
        <v>(4,698 B)</v>
      </c>
      <c r="K250" t="str">
        <v>(2,631 B)</v>
      </c>
      <c r="L250" t="str">
        <v>(3,062 B)</v>
      </c>
      <c r="M250" t="str">
        <v>(2,674 B)</v>
      </c>
      <c r="N250" t="str">
        <v>(2,675 B)</v>
      </c>
      <c r="O250" t="str">
        <v>(2,347 B)</v>
      </c>
      <c r="P250" t="str">
        <v>(1,737 B)</v>
      </c>
      <c r="Q250" t="str">
        <v>(2,728 B)</v>
      </c>
      <c r="R250" t="str">
        <v>(2,533 B)</v>
      </c>
      <c r="S250" t="str">
        <v>(2,661 B)</v>
      </c>
      <c r="T250" t="str">
        <v>(2,937 B)</v>
      </c>
      <c r="U250" t="str">
        <v>(3,212 B)</v>
      </c>
      <c r="V250" t="str">
        <v>(1,727 B)</v>
      </c>
      <c r="W250" t="str">
        <v>(1,119 B)</v>
      </c>
      <c r="X250" t="str">
        <v>(930 B)</v>
      </c>
      <c r="Y250" t="str">
        <v>(1,014 B)</v>
      </c>
    </row>
    <row r="251">
      <c r="B251" t="str">
        <v>Free cash flow (Annual)</v>
      </c>
      <c r="H251" t="str">
        <v>75,594 B</v>
      </c>
      <c r="I251" t="str">
        <v>50,254 B</v>
      </c>
      <c r="J251" t="str">
        <v>53,418 B</v>
      </c>
      <c r="K251" t="str">
        <v>31,148 B</v>
      </c>
      <c r="L251" t="str">
        <v>123,124 B</v>
      </c>
      <c r="M251" t="str">
        <v>48,305 B</v>
      </c>
      <c r="N251" t="str">
        <v>49,267 B</v>
      </c>
      <c r="O251" t="str">
        <v>2,565 B</v>
      </c>
      <c r="P251" t="str">
        <v>7,922 B</v>
      </c>
      <c r="Q251" t="str">
        <v>42,939 B</v>
      </c>
      <c r="R251" t="str">
        <v>26,926 B</v>
      </c>
      <c r="S251" t="str">
        <v>32,475 B</v>
      </c>
      <c r="T251" t="str">
        <v>(7,127 B)</v>
      </c>
      <c r="U251" t="str">
        <v>24,503 B</v>
      </c>
      <c r="V251" t="str">
        <v>(38,956 B)</v>
      </c>
      <c r="W251" t="str">
        <v>1,593 B</v>
      </c>
      <c r="X251" t="str">
        <v>(19,591 B)</v>
      </c>
      <c r="Y251" t="str">
        <v>(2,758 B)</v>
      </c>
    </row>
    <row r="252">
      <c r="B252" t="str">
        <v>Free cash flow per share (Annual)</v>
      </c>
      <c r="H252" t="str">
        <v>613.21</v>
      </c>
      <c r="I252" t="str">
        <v>407.66</v>
      </c>
      <c r="J252" t="str">
        <v>433.32</v>
      </c>
      <c r="K252" t="str">
        <v>252.67</v>
      </c>
      <c r="L252" t="str">
        <v>998.78</v>
      </c>
      <c r="M252" t="str">
        <v>1959.24</v>
      </c>
      <c r="N252" t="str">
        <v>1998.25</v>
      </c>
      <c r="O252" t="str">
        <v>104.05</v>
      </c>
      <c r="P252" t="str">
        <v>321.31</v>
      </c>
      <c r="Q252" t="str">
        <v>1741.60</v>
      </c>
      <c r="R252" t="str">
        <v>1092.10</v>
      </c>
      <c r="S252" t="str">
        <v>1317.19</v>
      </c>
      <c r="T252" t="str">
        <v>-289.07</v>
      </c>
      <c r="U252" t="str">
        <v>993.84</v>
      </c>
      <c r="V252" t="str">
        <v>-1580.04</v>
      </c>
      <c r="W252" t="str">
        <v>64.62</v>
      </c>
      <c r="X252" t="str">
        <v>-794.60</v>
      </c>
      <c r="Y252" t="str">
        <v>-111.87</v>
      </c>
    </row>
    <row r="254">
      <c r="A254" t="str">
        <v>Key Stats</v>
      </c>
      <c r="B254" t="str">
        <v>Net Income</v>
      </c>
      <c r="C254" t="str">
        <v>14,684 B</v>
      </c>
      <c r="D254" t="str">
        <v>14,140 B</v>
      </c>
      <c r="E254" t="str">
        <v>14,381 B</v>
      </c>
      <c r="F254" t="str">
        <v>14,870 B</v>
      </c>
      <c r="G254" t="str">
        <v>58,736 B</v>
      </c>
      <c r="H254" t="str">
        <v>57,537 B</v>
      </c>
      <c r="I254" t="str">
        <v>54,836 B</v>
      </c>
      <c r="J254" t="str">
        <v>48,639 B</v>
      </c>
      <c r="K254" t="str">
        <v>40,736 B</v>
      </c>
      <c r="L254" t="str">
        <v>31,423 B</v>
      </c>
      <c r="M254" t="str">
        <v>27,131 B</v>
      </c>
      <c r="N254" t="str">
        <v>28,565 B</v>
      </c>
      <c r="O254" t="str">
        <v>25,855 B</v>
      </c>
      <c r="P254" t="str">
        <v>23,310 B</v>
      </c>
    </row>
    <row r="255">
      <c r="B255" t="str">
        <v>Net Income - TTM (Q1)</v>
      </c>
      <c r="G255" t="str">
        <v>58,075 B</v>
      </c>
      <c r="H255" t="str">
        <v>57,537 B</v>
      </c>
      <c r="I255" t="str">
        <v>54,836 B</v>
      </c>
      <c r="J255" t="str">
        <v>48,639 B</v>
      </c>
      <c r="K255" t="str">
        <v>40,736 B</v>
      </c>
      <c r="L255" t="str">
        <v>31,423 B</v>
      </c>
      <c r="M255" t="str">
        <v>27,131 B</v>
      </c>
      <c r="N255" t="str">
        <v>28,565 B</v>
      </c>
      <c r="O255" t="str">
        <v>25,855 B</v>
      </c>
      <c r="P255" t="str">
        <v>23,310 B</v>
      </c>
    </row>
    <row r="256">
      <c r="B256" t="str">
        <v>Net Income - Div (TTM)</v>
      </c>
      <c r="G256" t="str">
        <v>301.00</v>
      </c>
      <c r="H256" t="str">
        <v>336.00</v>
      </c>
      <c r="I256" t="str">
        <v>300.00</v>
      </c>
      <c r="J256" t="str">
        <v>270.00</v>
      </c>
      <c r="K256" t="str">
        <v>205.00</v>
      </c>
      <c r="L256" t="str">
        <v>145.00</v>
      </c>
      <c r="M256" t="str">
        <v>106.00</v>
      </c>
      <c r="N256" t="str">
        <v>111.00</v>
      </c>
      <c r="O256" t="str">
        <v>68.00</v>
      </c>
      <c r="P256" t="str">
        <v>51.00</v>
      </c>
    </row>
    <row r="257">
      <c r="B257" t="str">
        <v>Net Income - Payout Ratio</v>
      </c>
      <c r="G257" t="str">
        <v>63.17%</v>
      </c>
      <c r="H257" t="str">
        <v>71.99%</v>
      </c>
      <c r="I257" t="str">
        <v>67.44%</v>
      </c>
      <c r="J257" t="str">
        <v>68.43%</v>
      </c>
      <c r="K257" t="str">
        <v>62.04%</v>
      </c>
      <c r="L257" t="str">
        <v>56.89%</v>
      </c>
      <c r="M257" t="str">
        <v>48.16%</v>
      </c>
      <c r="N257" t="str">
        <v>47.90%</v>
      </c>
      <c r="O257" t="str">
        <v>32.42%</v>
      </c>
      <c r="P257" t="str">
        <v>26.97%</v>
      </c>
    </row>
    <row r="258">
      <c r="B258" t="str">
        <v>Net Income - Div Yield</v>
      </c>
      <c r="G258" t="str">
        <v>5.08%</v>
      </c>
      <c r="H258" t="str">
        <v>5.01%</v>
      </c>
      <c r="I258" t="str">
        <v>3.58%</v>
      </c>
      <c r="J258" t="str">
        <v>2.67%</v>
      </c>
      <c r="K258" t="str">
        <v>2.36%</v>
      </c>
      <c r="L258" t="str">
        <v>1.82%</v>
      </c>
      <c r="M258" t="str">
        <v>1.70%</v>
      </c>
      <c r="N258" t="str">
        <v>2.07%</v>
      </c>
      <c r="O258" t="str">
        <v>1.21%</v>
      </c>
      <c r="P258" t="str">
        <v>1.10%</v>
      </c>
    </row>
    <row r="259">
      <c r="B259" t="str">
        <v>EPS</v>
      </c>
      <c r="C259" t="str">
        <v>119.12</v>
      </c>
      <c r="D259" t="str">
        <v>114.70</v>
      </c>
      <c r="E259" t="str">
        <v>116.66</v>
      </c>
      <c r="F259" t="str">
        <v>120.63</v>
      </c>
      <c r="G259" t="str">
        <v>476.47</v>
      </c>
      <c r="H259" t="str">
        <v>466.74</v>
      </c>
      <c r="I259" t="str">
        <v>444.83</v>
      </c>
      <c r="J259" t="str">
        <v>394.56</v>
      </c>
      <c r="K259" t="str">
        <v>330.45</v>
      </c>
      <c r="L259" t="str">
        <v>254.90</v>
      </c>
      <c r="M259" t="str">
        <v>220.09</v>
      </c>
      <c r="N259" t="str">
        <v>231.72</v>
      </c>
      <c r="O259" t="str">
        <v>209.74</v>
      </c>
      <c r="P259" t="str">
        <v>189.09</v>
      </c>
    </row>
    <row r="260">
      <c r="B260" t="str">
        <v>EPS - TTM (Q1)</v>
      </c>
      <c r="G260" t="str">
        <v>471.10</v>
      </c>
      <c r="H260" t="str">
        <v>466.74</v>
      </c>
      <c r="I260" t="str">
        <v>444.83</v>
      </c>
      <c r="J260" t="str">
        <v>394.56</v>
      </c>
      <c r="K260" t="str">
        <v>330.45</v>
      </c>
      <c r="L260" t="str">
        <v>254.90</v>
      </c>
      <c r="M260" t="str">
        <v>220.09</v>
      </c>
      <c r="N260" t="str">
        <v>231.72</v>
      </c>
      <c r="O260" t="str">
        <v>209.74</v>
      </c>
      <c r="P260" t="str">
        <v>189.09</v>
      </c>
    </row>
    <row r="261">
      <c r="B261" t="str">
        <v>EPS - Div (TTM)</v>
      </c>
      <c r="G261" t="str">
        <v>301.00</v>
      </c>
      <c r="H261" t="str">
        <v>336.00</v>
      </c>
      <c r="I261" t="str">
        <v>300.00</v>
      </c>
      <c r="J261" t="str">
        <v>270.00</v>
      </c>
      <c r="K261" t="str">
        <v>205.00</v>
      </c>
      <c r="L261" t="str">
        <v>145.00</v>
      </c>
      <c r="M261" t="str">
        <v>106.00</v>
      </c>
      <c r="N261" t="str">
        <v>111.00</v>
      </c>
      <c r="O261" t="str">
        <v>68.00</v>
      </c>
      <c r="P261" t="str">
        <v>51.00</v>
      </c>
    </row>
    <row r="262">
      <c r="B262" t="str">
        <v>EPS - Payout Ratio</v>
      </c>
      <c r="G262" t="str">
        <v>63.17%</v>
      </c>
      <c r="H262" t="str">
        <v>71.99%</v>
      </c>
      <c r="I262" t="str">
        <v>67.44%</v>
      </c>
      <c r="J262" t="str">
        <v>68.43%</v>
      </c>
      <c r="K262" t="str">
        <v>62.04%</v>
      </c>
      <c r="L262" t="str">
        <v>56.89%</v>
      </c>
      <c r="M262" t="str">
        <v>48.16%</v>
      </c>
      <c r="N262" t="str">
        <v>47.90%</v>
      </c>
      <c r="O262" t="str">
        <v>32.42%</v>
      </c>
      <c r="P262" t="str">
        <v>26.97%</v>
      </c>
    </row>
    <row r="263">
      <c r="B263" t="str">
        <v>EPS - Div Yield</v>
      </c>
      <c r="G263" t="str">
        <v>5.08%</v>
      </c>
      <c r="H263" t="str">
        <v>5.01%</v>
      </c>
      <c r="I263" t="str">
        <v>3.58%</v>
      </c>
      <c r="J263" t="str">
        <v>2.67%</v>
      </c>
      <c r="K263" t="str">
        <v>2.36%</v>
      </c>
      <c r="L263" t="str">
        <v>1.82%</v>
      </c>
      <c r="M263" t="str">
        <v>1.70%</v>
      </c>
      <c r="N263" t="str">
        <v>2.07%</v>
      </c>
      <c r="O263" t="str">
        <v>1.21%</v>
      </c>
      <c r="P263" t="str">
        <v>1.10%</v>
      </c>
    </row>
    <row r="264">
      <c r="B264" t="str">
        <v>Revenue</v>
      </c>
      <c r="C264" t="str">
        <v>29,654 B</v>
      </c>
      <c r="D264" t="str">
        <v>27,144 B</v>
      </c>
      <c r="E264" t="str">
        <v>30,875 B</v>
      </c>
      <c r="F264" t="str">
        <v>31,528 B</v>
      </c>
      <c r="G264" t="str">
        <v>118,614 B</v>
      </c>
      <c r="H264" t="str">
        <v>118,573 B</v>
      </c>
      <c r="I264" t="str">
        <v>112,776 B</v>
      </c>
      <c r="J264" t="str">
        <v>104,050 B</v>
      </c>
      <c r="K264" t="str">
        <v>88,825 B</v>
      </c>
      <c r="L264" t="str">
        <v>80,307 B</v>
      </c>
      <c r="M264" t="str">
        <v>78,563 B</v>
      </c>
      <c r="N264" t="str">
        <v>77,446 B</v>
      </c>
      <c r="O264" t="str">
        <v>68,763 B</v>
      </c>
      <c r="P264" t="str">
        <v>64,156 B</v>
      </c>
    </row>
    <row r="265">
      <c r="B265" t="str">
        <v>Revenue - TTM (Q1)</v>
      </c>
      <c r="G265" t="str">
        <v>119,201 B</v>
      </c>
      <c r="H265" t="str">
        <v>118,573 B</v>
      </c>
      <c r="I265" t="str">
        <v>112,776 B</v>
      </c>
      <c r="J265" t="str">
        <v>104,050 B</v>
      </c>
      <c r="K265" t="str">
        <v>88,825 B</v>
      </c>
      <c r="L265" t="str">
        <v>80,307 B</v>
      </c>
      <c r="M265" t="str">
        <v>78,563 B</v>
      </c>
      <c r="N265" t="str">
        <v>77,446 B</v>
      </c>
      <c r="O265" t="str">
        <v>68,763 B</v>
      </c>
      <c r="P265" t="str">
        <v>64,156 B</v>
      </c>
    </row>
    <row r="266">
      <c r="B266" t="str">
        <v>Revenue - Div (TTM)</v>
      </c>
      <c r="G266" t="str">
        <v>301.00</v>
      </c>
      <c r="H266" t="str">
        <v>336.00</v>
      </c>
      <c r="I266" t="str">
        <v>300.00</v>
      </c>
      <c r="J266" t="str">
        <v>270.00</v>
      </c>
      <c r="K266" t="str">
        <v>205.00</v>
      </c>
      <c r="L266" t="str">
        <v>145.00</v>
      </c>
      <c r="M266" t="str">
        <v>106.00</v>
      </c>
      <c r="N266" t="str">
        <v>111.00</v>
      </c>
      <c r="O266" t="str">
        <v>68.00</v>
      </c>
      <c r="P266" t="str">
        <v>51.00</v>
      </c>
    </row>
    <row r="267">
      <c r="B267" t="str">
        <v>Revenue - Payout Ratio</v>
      </c>
      <c r="G267" t="str">
        <v>63.17%</v>
      </c>
      <c r="H267" t="str">
        <v>71.99%</v>
      </c>
      <c r="I267" t="str">
        <v>67.44%</v>
      </c>
      <c r="J267" t="str">
        <v>68.43%</v>
      </c>
      <c r="K267" t="str">
        <v>62.04%</v>
      </c>
      <c r="L267" t="str">
        <v>56.89%</v>
      </c>
      <c r="M267" t="str">
        <v>48.16%</v>
      </c>
      <c r="N267" t="str">
        <v>47.90%</v>
      </c>
      <c r="O267" t="str">
        <v>32.42%</v>
      </c>
      <c r="P267" t="str">
        <v>26.97%</v>
      </c>
    </row>
    <row r="268">
      <c r="B268" t="str">
        <v>Revenue - Div Yield</v>
      </c>
      <c r="G268" t="str">
        <v>5.08%</v>
      </c>
      <c r="H268" t="str">
        <v>5.01%</v>
      </c>
      <c r="I268" t="str">
        <v>3.58%</v>
      </c>
      <c r="J268" t="str">
        <v>2.67%</v>
      </c>
      <c r="K268" t="str">
        <v>2.36%</v>
      </c>
      <c r="L268" t="str">
        <v>1.82%</v>
      </c>
      <c r="M268" t="str">
        <v>1.70%</v>
      </c>
      <c r="N268" t="str">
        <v>2.07%</v>
      </c>
      <c r="O268" t="str">
        <v>1.21%</v>
      </c>
      <c r="P268" t="str">
        <v>1.10%</v>
      </c>
    </row>
    <row r="269">
      <c r="B269" t="str">
        <v>Current PE Ratio (Annualised)</v>
      </c>
      <c r="H269" t="str">
        <v>12.44</v>
      </c>
    </row>
    <row r="270">
      <c r="B270" t="str">
        <v>Current PE Ratio (TTM)</v>
      </c>
      <c r="H270" t="str">
        <v>12.58</v>
      </c>
    </row>
    <row r="271">
      <c r="B271" t="str">
        <v>Forward PE Ratio</v>
      </c>
      <c r="H271" t="str">
        <v>11.57</v>
      </c>
    </row>
    <row r="272">
      <c r="B272" t="str">
        <v>IHSG PE Ratio TTM (Median)</v>
      </c>
      <c r="H272" t="str">
        <v>7.41</v>
      </c>
    </row>
    <row r="273">
      <c r="B273" t="str">
        <v>Earnings Yield (TTM)</v>
      </c>
      <c r="H273" t="str">
        <v>7.95%</v>
      </c>
    </row>
    <row r="274">
      <c r="B274" t="str">
        <v>Current Price to Sales (TTM)</v>
      </c>
      <c r="H274" t="str">
        <v>6.13</v>
      </c>
    </row>
    <row r="275">
      <c r="B275" t="str">
        <v>Current Price to Book Value</v>
      </c>
      <c r="H275" t="str">
        <v>2.82</v>
      </c>
    </row>
    <row r="276">
      <c r="B276" t="str">
        <v>Current Price To Cashflow (TTM)</v>
      </c>
      <c r="H276" t="str">
        <v>8.09</v>
      </c>
    </row>
    <row r="277">
      <c r="B277" t="str">
        <v>Current Price To Free Cashflow (TTM)</v>
      </c>
      <c r="H277" t="str">
        <v>8.26</v>
      </c>
    </row>
    <row r="278">
      <c r="B278" t="str">
        <v>EV to EBIT (TTM)</v>
      </c>
      <c r="H278" t="str">
        <v>9.83</v>
      </c>
    </row>
    <row r="279">
      <c r="B279" t="str">
        <v>EV to EBITDA (TTM)</v>
      </c>
      <c r="H279" t="str">
        <v>9.48</v>
      </c>
    </row>
    <row r="280">
      <c r="B280" t="str">
        <v>PEG Ratio</v>
      </c>
      <c r="H280" t="str">
        <v>2.55</v>
      </c>
    </row>
    <row r="281">
      <c r="B281" t="str">
        <v>PEG Ratio (3yr)</v>
      </c>
      <c r="H281" t="str">
        <v>1.03</v>
      </c>
    </row>
    <row r="282">
      <c r="B282" t="str">
        <v>PEG (Forward)</v>
      </c>
      <c r="H282" t="str">
        <v>6.03</v>
      </c>
    </row>
    <row r="283">
      <c r="B283" t="str">
        <v>Current EPS (TTM)</v>
      </c>
      <c r="H283" t="str">
        <v>471.10</v>
      </c>
    </row>
    <row r="284">
      <c r="B284" t="str">
        <v>Current EPS (Annualised)</v>
      </c>
      <c r="H284" t="str">
        <v>476.47</v>
      </c>
    </row>
    <row r="285">
      <c r="B285" t="str">
        <v>Revenue Per Share (TTM)</v>
      </c>
      <c r="H285" t="str">
        <v>966.95</v>
      </c>
    </row>
    <row r="286">
      <c r="B286" t="str">
        <v>Cash Per Share (Quarter)</v>
      </c>
      <c r="C286" t="str">
        <v>194.39</v>
      </c>
    </row>
    <row r="287">
      <c r="B287" t="str">
        <v>Current Book Value Per Share</v>
      </c>
      <c r="H287" t="str">
        <v>2,102.07</v>
      </c>
    </row>
    <row r="288">
      <c r="B288" t="str">
        <v>Free Cashflow Per Share (TTM)</v>
      </c>
      <c r="H288" t="str">
        <v>717.13</v>
      </c>
    </row>
    <row r="289">
      <c r="B289" t="str">
        <v>Total Liabilities/Equity (Quarter)</v>
      </c>
      <c r="C289" t="str">
        <v>5.33</v>
      </c>
    </row>
    <row r="290">
      <c r="B290" t="str">
        <v>Financial Leverage (Quarter)</v>
      </c>
      <c r="C290" t="str">
        <v>6.33</v>
      </c>
    </row>
    <row r="291">
      <c r="B291" t="str">
        <v>Free cash flow (Quarter)</v>
      </c>
      <c r="C291" t="str">
        <v>47,682 B</v>
      </c>
    </row>
    <row r="292">
      <c r="B292" t="str">
        <v>Altman Z-Score (Modified)</v>
      </c>
      <c r="H292" t="str">
        <v>0.97</v>
      </c>
    </row>
    <row r="293">
      <c r="B293" t="str">
        <v>Return on Assets (TTM)</v>
      </c>
      <c r="H293" t="str">
        <v>3.54%</v>
      </c>
    </row>
    <row r="294">
      <c r="B294" t="str">
        <v>Return on Equity (TTM)</v>
      </c>
      <c r="H294" t="str">
        <v>22.41%</v>
      </c>
    </row>
    <row r="295">
      <c r="B295" t="str">
        <v>Return on Capital Employed (TTM)</v>
      </c>
      <c r="H295" t="str">
        <v>4.45%</v>
      </c>
    </row>
    <row r="296">
      <c r="B296" t="str">
        <v>Return On Invested Capital (TTM)</v>
      </c>
      <c r="H296" t="str">
        <v>21.46%</v>
      </c>
    </row>
    <row r="297">
      <c r="B297" t="str">
        <v>Asset Turnover (TTM)</v>
      </c>
      <c r="H297" t="str">
        <v>0.07</v>
      </c>
    </row>
    <row r="298">
      <c r="B298" t="str">
        <v>Market Cap</v>
      </c>
      <c r="H298" t="str">
        <v>730,405 B</v>
      </c>
    </row>
    <row r="299">
      <c r="B299" t="str">
        <v>Enterprise Value</v>
      </c>
      <c r="H299" t="str">
        <v>706,900 B</v>
      </c>
    </row>
    <row r="300">
      <c r="B300" t="str">
        <v>Current Share Outstanding</v>
      </c>
      <c r="H300" t="str">
        <v>123.28 B</v>
      </c>
    </row>
    <row r="301">
      <c r="B301" t="str">
        <v>Free Float</v>
      </c>
      <c r="H301" t="str">
        <v>42.46%</v>
      </c>
    </row>
    <row r="302">
      <c r="B302" t="str">
        <v>Gross Profit Margin (Quarter)</v>
      </c>
      <c r="C302" t="str">
        <v>88.25%</v>
      </c>
    </row>
    <row r="303">
      <c r="B303" t="str">
        <v>Operating Profit Margin (Quarter)</v>
      </c>
      <c r="C303" t="str">
        <v>60.96%</v>
      </c>
    </row>
    <row r="304">
      <c r="B304" t="str">
        <v>Net Profit Margin (Quarter)</v>
      </c>
      <c r="C304" t="str">
        <v>49.52%</v>
      </c>
    </row>
    <row r="305">
      <c r="B305" t="str">
        <v>Revenue (Quarter YoY Growth)</v>
      </c>
      <c r="C305" t="str">
        <v>2.16%</v>
      </c>
    </row>
    <row r="306">
      <c r="B306" t="str">
        <v>Gross Profit (Quarter YoY Growth)</v>
      </c>
      <c r="C306" t="str">
        <v>1.52%</v>
      </c>
    </row>
    <row r="307">
      <c r="B307" t="str">
        <v>Net Income (Quarter YoY Growth)</v>
      </c>
      <c r="C307" t="str">
        <v>3.80%</v>
      </c>
    </row>
    <row r="308">
      <c r="B308" t="str">
        <v>Dividend</v>
      </c>
      <c r="H308" t="str">
        <v>281.00</v>
      </c>
    </row>
    <row r="309">
      <c r="B309" t="str">
        <v>Dividend (TTM)</v>
      </c>
      <c r="H309" t="str">
        <v>301.00</v>
      </c>
    </row>
    <row r="310">
      <c r="B310" t="str">
        <v>Payout Ratio</v>
      </c>
      <c r="H310" t="str">
        <v>63.17%</v>
      </c>
    </row>
    <row r="311">
      <c r="B311" t="str">
        <v>Dividend Yield</v>
      </c>
      <c r="H311" t="str">
        <v>5.08%</v>
      </c>
    </row>
    <row r="312">
      <c r="B312" t="str">
        <v>Latest Dividend Ex-Date</v>
      </c>
      <c r="H312" t="str">
        <v>30 Mar 26</v>
      </c>
    </row>
    <row r="313">
      <c r="B313" t="str">
        <v>Piotroski F-Score</v>
      </c>
      <c r="H313" t="str">
        <v>5.00</v>
      </c>
    </row>
    <row r="314">
      <c r="B314" t="str">
        <v>EPS Rating</v>
      </c>
      <c r="H314" t="str">
        <v>12.00%</v>
      </c>
    </row>
    <row r="315">
      <c r="B315" t="str">
        <v>Relative Strength Rating</v>
      </c>
      <c r="H315" t="str">
        <v>22.00%</v>
      </c>
    </row>
    <row r="316">
      <c r="B316" t="str">
        <v>Rank (Market Cap)</v>
      </c>
      <c r="H316" t="str">
        <v>100.00%</v>
      </c>
    </row>
    <row r="317">
      <c r="B317" t="str">
        <v>Rank (Current PE Ratio TTM)</v>
      </c>
      <c r="H317" t="str">
        <v>54.00%</v>
      </c>
    </row>
    <row r="318">
      <c r="B318" t="str">
        <v>Rank (Earnings Yield)</v>
      </c>
      <c r="H318" t="str">
        <v>55.00%</v>
      </c>
    </row>
    <row r="319">
      <c r="B319" t="str">
        <v>Rank (P/S)</v>
      </c>
      <c r="H319" t="str">
        <v>19.00%</v>
      </c>
    </row>
    <row r="320">
      <c r="B320" t="str">
        <v>Rank (P/B)</v>
      </c>
      <c r="H320" t="str">
        <v>23.00%</v>
      </c>
    </row>
    <row r="321">
      <c r="B321" t="str">
        <v>Rank (Near 52 Weeks High)</v>
      </c>
      <c r="H321" t="str">
        <v>67.00%</v>
      </c>
    </row>
    <row r="322">
      <c r="B322" t="str">
        <v>Revenue (TTM)</v>
      </c>
      <c r="H322" t="str">
        <v>119,201 B</v>
      </c>
    </row>
    <row r="323">
      <c r="B323" t="str">
        <v>Gross Profit (TTM)</v>
      </c>
      <c r="H323" t="str">
        <v>105,601 B</v>
      </c>
    </row>
    <row r="324">
      <c r="B324" t="str">
        <v>EBITDA (TTM)</v>
      </c>
      <c r="H324" t="str">
        <v>74,572 B</v>
      </c>
    </row>
    <row r="325">
      <c r="B325" t="str">
        <v>Net Income (TTM)</v>
      </c>
      <c r="H325" t="str">
        <v>58,075 B</v>
      </c>
    </row>
    <row r="326">
      <c r="B326" t="str">
        <v>Cash (Quarter)</v>
      </c>
      <c r="C326" t="str">
        <v>23,964 B</v>
      </c>
    </row>
    <row r="327">
      <c r="B327" t="str">
        <v>Total Assets (Quarter)</v>
      </c>
      <c r="C327" t="str">
        <v>1,640,831 B</v>
      </c>
    </row>
    <row r="328">
      <c r="B328" t="str">
        <v>Total Liabilities (Quarter)</v>
      </c>
      <c r="C328" t="str">
        <v>1,381,472 B</v>
      </c>
    </row>
    <row r="329">
      <c r="B329" t="str">
        <v>Common Equity</v>
      </c>
      <c r="H329" t="str">
        <v>259,132 B</v>
      </c>
    </row>
    <row r="330">
      <c r="B330" t="str">
        <v>Total Equity</v>
      </c>
      <c r="H330" t="str">
        <v>259,359 B</v>
      </c>
    </row>
    <row r="331">
      <c r="B331" t="str">
        <v>Cash From Operations (TTM)</v>
      </c>
      <c r="H331" t="str">
        <v>90,246 B</v>
      </c>
    </row>
    <row r="332">
      <c r="B332" t="str">
        <v>Cash From Investing (TTM)</v>
      </c>
      <c r="H332" t="str">
        <v>(46,377 B)</v>
      </c>
    </row>
    <row r="333">
      <c r="B333" t="str">
        <v>Cash From Financing (TTM)</v>
      </c>
      <c r="H333" t="str">
        <v>(42,779 B)</v>
      </c>
    </row>
    <row r="334">
      <c r="B334" t="str">
        <v>Capital expenditure (TTM)</v>
      </c>
      <c r="H334" t="str">
        <v>(1,842 B)</v>
      </c>
    </row>
    <row r="335">
      <c r="B335" t="str">
        <v>Free cash flow (TTM)</v>
      </c>
      <c r="H335" t="str">
        <v>88,404 B</v>
      </c>
    </row>
  </sheetData>
  <ignoredErrors>
    <ignoredError numberStoredAsText="1" sqref="A1:Z3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67"/>
  <sheetViews>
    <sheetView workbookViewId="0"/>
  </sheetViews>
  <cols>
    <col min="1" max="1" width="38.83203125" customWidth="1"/>
    <col min="2" max="2" width="28.83203125" customWidth="1"/>
    <col min="3" max="3" width="3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</cols>
  <sheetData>
    <row r="1">
      <c r="C1" t="str">
        <v>BBRI</v>
      </c>
      <c r="D1" t="str">
        <v>Q1</v>
      </c>
      <c r="H1" t="str">
        <v>tahun Berjalan</v>
      </c>
      <c r="I1" s="1">
        <v>45656</v>
      </c>
      <c r="J1" s="1">
        <v>45290</v>
      </c>
      <c r="K1" s="1">
        <v>44925</v>
      </c>
      <c r="L1" s="1">
        <v>44560</v>
      </c>
      <c r="M1" s="1">
        <v>44195</v>
      </c>
      <c r="N1" s="1">
        <v>43829</v>
      </c>
      <c r="O1" s="1">
        <v>43464</v>
      </c>
      <c r="P1" s="1">
        <v>43099</v>
      </c>
      <c r="Q1" s="1">
        <v>42734</v>
      </c>
      <c r="R1" s="1">
        <v>42368</v>
      </c>
      <c r="S1" s="1">
        <v>42003</v>
      </c>
      <c r="T1" s="1">
        <v>41638</v>
      </c>
      <c r="U1" s="1">
        <v>41273</v>
      </c>
      <c r="V1" s="1">
        <v>40907</v>
      </c>
      <c r="W1" s="1">
        <v>40542</v>
      </c>
      <c r="X1" s="1">
        <v>40177</v>
      </c>
      <c r="Y1" s="1">
        <v>39812</v>
      </c>
      <c r="Z1" s="1">
        <v>39446</v>
      </c>
    </row>
    <row r="2">
      <c r="C2" t="str">
        <v>#VALUE!</v>
      </c>
      <c r="D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>
      <c r="D3" t="str">
        <v>Apr 2026</v>
      </c>
    </row>
    <row r="4">
      <c r="B4" t="str">
        <v>LABA KOTOR</v>
      </c>
      <c r="C4" t="str">
        <v>Total Pendapatan</v>
      </c>
      <c r="D4" s="2">
        <f>IFERROR(INDEX(C51:C500,MATCH($C$4,$B$51:$B$500,0)),"")</f>
        <v>0</v>
      </c>
      <c r="H4" s="2">
        <f>IFERROR(SUM(D4:G4)*(4/MAX(1,COUNT(D4:G4))),=IFERROR(INDEX(H51:H500,MATCH($C$4,$B$51:$B$500,0)),""))</f>
        <v>0</v>
      </c>
      <c r="I4" s="2">
        <f>IFERROR(INDEX(I51:I500,MATCH($C$4,$B$51:$B$500,0)),"")</f>
        <v>0</v>
      </c>
      <c r="J4" s="2">
        <f>IFERROR(INDEX(J51:J500,MATCH($C$4,$B$51:$B$500,0)),"")</f>
        <v>0</v>
      </c>
      <c r="K4" s="2">
        <f>IFERROR(INDEX(K51:K500,MATCH($C$4,$B$51:$B$500,0)),"")</f>
        <v>0</v>
      </c>
      <c r="L4" s="2">
        <f>IFERROR(INDEX(L51:L500,MATCH($C$4,$B$51:$B$500,0)),"")</f>
        <v>0</v>
      </c>
      <c r="M4" s="2">
        <f>IFERROR(INDEX(M51:M500,MATCH($C$4,$B$51:$B$500,0)),"")</f>
        <v>0</v>
      </c>
      <c r="N4" s="2">
        <f>IFERROR(INDEX(N51:N500,MATCH($C$4,$B$51:$B$500,0)),"")</f>
        <v>0</v>
      </c>
      <c r="O4" s="2">
        <f>IFERROR(INDEX(O51:O500,MATCH($C$4,$B$51:$B$500,0)),"")</f>
        <v>0</v>
      </c>
      <c r="P4" s="2">
        <f>IFERROR(INDEX(P51:P500,MATCH($C$4,$B$51:$B$500,0)),"")</f>
        <v>0</v>
      </c>
      <c r="Q4" s="2">
        <f>IFERROR(INDEX(Q51:Q500,MATCH($C$4,$B$51:$B$500,0)),"")</f>
        <v>0</v>
      </c>
      <c r="R4" s="2">
        <f>IFERROR(INDEX(R51:R500,MATCH($C$4,$B$51:$B$500,0)),"")</f>
        <v>0</v>
      </c>
      <c r="S4" s="2">
        <f>IFERROR(INDEX(S51:S500,MATCH($C$4,$B$51:$B$500,0)),"")</f>
        <v>0</v>
      </c>
      <c r="T4" s="2">
        <f>IFERROR(INDEX(T51:T500,MATCH($C$4,$B$51:$B$500,0)),"")</f>
        <v>0</v>
      </c>
      <c r="U4" s="2">
        <f>IFERROR(INDEX(U51:U500,MATCH($C$4,$B$51:$B$500,0)),"")</f>
        <v>0</v>
      </c>
      <c r="V4" s="2">
        <f>IFERROR(INDEX(V51:V500,MATCH($C$4,$B$51:$B$500,0)),"")</f>
        <v>0</v>
      </c>
      <c r="W4" s="2">
        <f>IFERROR(INDEX(W51:W500,MATCH($C$4,$B$51:$B$500,0)),"")</f>
        <v>0</v>
      </c>
      <c r="X4" s="2">
        <f>IFERROR(INDEX(X51:X500,MATCH($C$4,$B$51:$B$500,0)),"")</f>
        <v>0</v>
      </c>
      <c r="Y4" s="2">
        <f>IFERROR(INDEX(Y51:Y500,MATCH($C$4,$B$51:$B$500,0)),"")</f>
        <v>0</v>
      </c>
      <c r="Z4" s="2">
        <f>IFERROR(INDEX(Z51:Z500,MATCH($C$4,$B$51:$B$500,0)),"")</f>
        <v>0</v>
      </c>
    </row>
    <row r="5">
      <c r="B5" t="str">
        <v>BERSIH</v>
      </c>
      <c r="C5" t="str">
        <v>Pemilik Entitas Induk</v>
      </c>
      <c r="D5" s="2">
        <f>IFERROR(INDEX(C51:C500,MATCH($C$5,$B$51:$B$500,0)),"")</f>
        <v>0</v>
      </c>
      <c r="H5" s="2">
        <f>IFERROR(SUM(D5:G5)*(4/MAX(1,COUNT(D5:G5))),=IFERROR(INDEX(H51:H500,MATCH($C$5,$B$51:$B$500,0)),""))</f>
        <v>0</v>
      </c>
      <c r="I5" s="2">
        <f>IFERROR(INDEX(I51:I500,MATCH($C$5,$B$51:$B$500,0)),"")</f>
        <v>0</v>
      </c>
      <c r="J5" s="2">
        <f>IFERROR(INDEX(J51:J500,MATCH($C$5,$B$51:$B$500,0)),"")</f>
        <v>0</v>
      </c>
      <c r="K5" s="2">
        <f>IFERROR(INDEX(K51:K500,MATCH($C$5,$B$51:$B$500,0)),"")</f>
        <v>0</v>
      </c>
      <c r="L5" s="2">
        <f>IFERROR(INDEX(L51:L500,MATCH($C$5,$B$51:$B$500,0)),"")</f>
        <v>0</v>
      </c>
      <c r="M5" s="2">
        <f>IFERROR(INDEX(M51:M500,MATCH($C$5,$B$51:$B$500,0)),"")</f>
        <v>0</v>
      </c>
      <c r="N5" s="2">
        <f>IFERROR(INDEX(N51:N500,MATCH($C$5,$B$51:$B$500,0)),"")</f>
        <v>0</v>
      </c>
      <c r="O5" s="2">
        <f>IFERROR(INDEX(O51:O500,MATCH($C$5,$B$51:$B$500,0)),"")</f>
        <v>0</v>
      </c>
      <c r="P5" s="2">
        <f>IFERROR(INDEX(P51:P500,MATCH($C$5,$B$51:$B$500,0)),"")</f>
        <v>0</v>
      </c>
      <c r="Q5" s="2">
        <f>IFERROR(INDEX(Q51:Q500,MATCH($C$5,$B$51:$B$500,0)),"")</f>
        <v>0</v>
      </c>
      <c r="R5" s="2">
        <f>IFERROR(INDEX(R51:R500,MATCH($C$5,$B$51:$B$500,0)),"")</f>
        <v>0</v>
      </c>
      <c r="S5" s="2">
        <f>IFERROR(INDEX(S51:S500,MATCH($C$5,$B$51:$B$500,0)),"")</f>
        <v>0</v>
      </c>
      <c r="T5" s="2">
        <f>IFERROR(INDEX(T51:T500,MATCH($C$5,$B$51:$B$500,0)),"")</f>
        <v>0</v>
      </c>
      <c r="U5" s="2">
        <f>IFERROR(INDEX(U51:U500,MATCH($C$5,$B$51:$B$500,0)),"")</f>
        <v>0</v>
      </c>
      <c r="V5" s="2">
        <f>IFERROR(INDEX(V51:V500,MATCH($C$5,$B$51:$B$500,0)),"")</f>
        <v>0</v>
      </c>
      <c r="W5" s="2">
        <f>IFERROR(INDEX(W51:W500,MATCH($C$5,$B$51:$B$500,0)),"")</f>
        <v>0</v>
      </c>
      <c r="X5" s="2">
        <f>IFERROR(INDEX(X51:X500,MATCH($C$5,$B$51:$B$500,0)),"")</f>
        <v>0</v>
      </c>
      <c r="Y5" s="2">
        <f>IFERROR(INDEX(Y51:Y500,MATCH($C$5,$B$51:$B$500,0)),"")</f>
        <v>0</v>
      </c>
      <c r="Z5" s="2">
        <f>IFERROR(INDEX(Z51:Z500,MATCH($C$5,$B$51:$B$500,0)),"")</f>
        <v>0</v>
      </c>
    </row>
    <row r="6">
      <c r="B6" t="str">
        <v>EQUITY</v>
      </c>
      <c r="C6" t="str">
        <v>Total Ekuitas</v>
      </c>
      <c r="D6" s="2">
        <f>IFERROR(INDEX(C51:C500,MATCH($C$6,$B$51:$B$500,0)),"")</f>
        <v>0</v>
      </c>
      <c r="H6" s="2">
        <f>IFERROR(INDEX(H51:H500,MATCH($C$6,$B$51:$B$500,0)),"")</f>
        <v>0</v>
      </c>
      <c r="I6" s="2">
        <f>IFERROR(INDEX(I51:I500,MATCH($C$6,$B$51:$B$500,0)),"")</f>
        <v>0</v>
      </c>
      <c r="J6" s="2">
        <f>IFERROR(INDEX(J51:J500,MATCH($C$6,$B$51:$B$500,0)),"")</f>
        <v>0</v>
      </c>
      <c r="K6" s="2">
        <f>IFERROR(INDEX(K51:K500,MATCH($C$6,$B$51:$B$500,0)),"")</f>
        <v>0</v>
      </c>
      <c r="L6" s="2">
        <f>IFERROR(INDEX(L51:L500,MATCH($C$6,$B$51:$B$500,0)),"")</f>
        <v>0</v>
      </c>
      <c r="M6" s="2">
        <f>IFERROR(INDEX(M51:M500,MATCH($C$6,$B$51:$B$500,0)),"")</f>
        <v>0</v>
      </c>
      <c r="N6" s="2">
        <f>IFERROR(INDEX(N51:N500,MATCH($C$6,$B$51:$B$500,0)),"")</f>
        <v>0</v>
      </c>
      <c r="O6" s="2">
        <f>IFERROR(INDEX(O51:O500,MATCH($C$6,$B$51:$B$500,0)),"")</f>
        <v>0</v>
      </c>
      <c r="P6" s="2">
        <f>IFERROR(INDEX(P51:P500,MATCH($C$6,$B$51:$B$500,0)),"")</f>
        <v>0</v>
      </c>
      <c r="Q6" s="2">
        <f>IFERROR(INDEX(Q51:Q500,MATCH($C$6,$B$51:$B$500,0)),"")</f>
        <v>0</v>
      </c>
      <c r="R6" s="2">
        <f>IFERROR(INDEX(R51:R500,MATCH($C$6,$B$51:$B$500,0)),"")</f>
        <v>0</v>
      </c>
      <c r="S6" s="2">
        <f>IFERROR(INDEX(S51:S500,MATCH($C$6,$B$51:$B$500,0)),"")</f>
        <v>0</v>
      </c>
      <c r="T6" s="2">
        <f>IFERROR(INDEX(T51:T500,MATCH($C$6,$B$51:$B$500,0)),"")</f>
        <v>0</v>
      </c>
      <c r="U6" s="2">
        <f>IFERROR(INDEX(U51:U500,MATCH($C$6,$B$51:$B$500,0)),"")</f>
        <v>0</v>
      </c>
      <c r="V6" s="2">
        <f>IFERROR(INDEX(V51:V500,MATCH($C$6,$B$51:$B$500,0)),"")</f>
        <v>0</v>
      </c>
      <c r="W6" s="2">
        <f>IFERROR(INDEX(W51:W500,MATCH($C$6,$B$51:$B$500,0)),"")</f>
        <v>0</v>
      </c>
      <c r="X6" s="2">
        <f>IFERROR(INDEX(X51:X500,MATCH($C$6,$B$51:$B$500,0)),"")</f>
        <v>0</v>
      </c>
      <c r="Y6" s="2">
        <f>IFERROR(INDEX(Y51:Y500,MATCH($C$6,$B$51:$B$500,0)),"")</f>
        <v>0</v>
      </c>
      <c r="Z6" s="2">
        <f>IFERROR(INDEX(Z51:Z500,MATCH($C$6,$B$51:$B$500,0)),"")</f>
        <v>0</v>
      </c>
    </row>
    <row r="7">
      <c r="B7" t="str">
        <v>SAHAM BEREDAR</v>
      </c>
      <c r="C7" t="str">
        <v>Share Outstanding</v>
      </c>
      <c r="D7" s="2">
        <f>IFERROR(INDEX(C51:C500,MATCH("Share Outstanding",$B$51:$B$500,0)),IFERROR(INDEX(C51:C500,MATCH($C$7,$B$51:$B$500,0)),""))</f>
        <v>0</v>
      </c>
      <c r="H7" s="2">
        <f>IFERROR(INDEX(H51:H500,MATCH($C$7,$B$51:$B$500,0)),"")</f>
        <v>0</v>
      </c>
      <c r="I7" s="2">
        <f>IFERROR(INDEX(I51:I500,MATCH($C$7,$B$51:$B$500,0)),"")</f>
        <v>0</v>
      </c>
      <c r="J7" s="2">
        <f>IFERROR(INDEX(J51:J500,MATCH($C$7,$B$51:$B$500,0)),"")</f>
        <v>0</v>
      </c>
      <c r="K7" s="2">
        <f>IFERROR(INDEX(K51:K500,MATCH($C$7,$B$51:$B$500,0)),"")</f>
        <v>0</v>
      </c>
      <c r="L7" s="2">
        <f>IFERROR(INDEX(L51:L500,MATCH($C$7,$B$51:$B$500,0)),"")</f>
        <v>0</v>
      </c>
      <c r="M7" s="2">
        <f>IFERROR(INDEX(M51:M500,MATCH($C$7,$B$51:$B$500,0)),"")</f>
        <v>0</v>
      </c>
      <c r="N7" s="2">
        <f>IFERROR(INDEX(N51:N500,MATCH($C$7,$B$51:$B$500,0)),"")</f>
        <v>0</v>
      </c>
      <c r="O7" s="2">
        <f>IFERROR(INDEX(O51:O500,MATCH($C$7,$B$51:$B$500,0)),"")</f>
        <v>0</v>
      </c>
      <c r="P7" s="2">
        <f>IFERROR(INDEX(P51:P500,MATCH($C$7,$B$51:$B$500,0)),"")</f>
        <v>0</v>
      </c>
      <c r="Q7" s="2">
        <f>IFERROR(INDEX(Q51:Q500,MATCH($C$7,$B$51:$B$500,0)),"")</f>
        <v>0</v>
      </c>
      <c r="R7" s="2">
        <f>IFERROR(INDEX(R51:R500,MATCH($C$7,$B$51:$B$500,0)),"")</f>
        <v>0</v>
      </c>
      <c r="S7" s="2">
        <f>IFERROR(INDEX(S51:S500,MATCH($C$7,$B$51:$B$500,0)),"")</f>
        <v>0</v>
      </c>
      <c r="T7" s="2">
        <f>IFERROR(INDEX(T51:T500,MATCH($C$7,$B$51:$B$500,0)),"")</f>
        <v>0</v>
      </c>
      <c r="U7" s="2">
        <f>IFERROR(INDEX(U51:U500,MATCH($C$7,$B$51:$B$500,0)),"")</f>
        <v>0</v>
      </c>
      <c r="V7" s="2">
        <f>IFERROR(INDEX(V51:V500,MATCH($C$7,$B$51:$B$500,0)),"")</f>
        <v>0</v>
      </c>
      <c r="W7" s="2">
        <f>IFERROR(INDEX(W51:W500,MATCH($C$7,$B$51:$B$500,0)),"")</f>
        <v>0</v>
      </c>
      <c r="X7" s="2">
        <f>IFERROR(INDEX(X51:X500,MATCH($C$7,$B$51:$B$500,0)),"")</f>
        <v>0</v>
      </c>
      <c r="Y7" s="2">
        <f>IFERROR(INDEX(Y51:Y500,MATCH($C$7,$B$51:$B$500,0)),"")</f>
        <v>0</v>
      </c>
      <c r="Z7" s="2">
        <f>IFERROR(INDEX(Z51:Z500,MATCH($C$7,$B$51:$B$500,0)),"")</f>
        <v>0</v>
      </c>
    </row>
    <row r="8">
      <c r="A8" t="str">
        <v>Free cash flow (Quarter)</v>
      </c>
      <c r="B8" t="str">
        <v>FCF</v>
      </c>
      <c r="C8" t="str">
        <v>Free cash flow (Annual)</v>
      </c>
      <c r="D8" s="2">
        <f>IFERROR(INDEX(C51:C500,MATCH("Free cash flow (Quarter)",$B$51:$B$500,0)),"")</f>
        <v>0</v>
      </c>
      <c r="H8" s="2">
        <f>IFERROR(INDEX(H51:H500,MATCH($C$8,$B$51:$B$500,0)),"")</f>
        <v>0</v>
      </c>
      <c r="I8" s="2">
        <f>IFERROR(INDEX(I51:I500,MATCH($C$8,$B$51:$B$500,0)),"")</f>
        <v>0</v>
      </c>
      <c r="J8" s="2">
        <f>IFERROR(INDEX(J51:J500,MATCH($C$8,$B$51:$B$500,0)),"")</f>
        <v>0</v>
      </c>
      <c r="K8" s="2">
        <f>IFERROR(INDEX(K51:K500,MATCH($C$8,$B$51:$B$500,0)),"")</f>
        <v>0</v>
      </c>
      <c r="L8" s="2">
        <f>IFERROR(INDEX(L51:L500,MATCH($C$8,$B$51:$B$500,0)),"")</f>
        <v>0</v>
      </c>
      <c r="M8" s="2">
        <f>IFERROR(INDEX(M51:M500,MATCH($C$8,$B$51:$B$500,0)),"")</f>
        <v>0</v>
      </c>
      <c r="N8" s="2">
        <f>IFERROR(INDEX(N51:N500,MATCH($C$8,$B$51:$B$500,0)),"")</f>
        <v>0</v>
      </c>
      <c r="O8" s="2">
        <f>IFERROR(INDEX(O51:O500,MATCH($C$8,$B$51:$B$500,0)),"")</f>
        <v>0</v>
      </c>
      <c r="P8" s="2">
        <f>IFERROR(INDEX(P51:P500,MATCH($C$8,$B$51:$B$500,0)),"")</f>
        <v>0</v>
      </c>
      <c r="Q8" s="2">
        <f>IFERROR(INDEX(Q51:Q500,MATCH($C$8,$B$51:$B$500,0)),"")</f>
        <v>0</v>
      </c>
      <c r="R8" s="2">
        <f>IFERROR(INDEX(R51:R500,MATCH($C$8,$B$51:$B$500,0)),"")</f>
        <v>0</v>
      </c>
      <c r="S8" s="2">
        <f>IFERROR(INDEX(S51:S500,MATCH($C$8,$B$51:$B$500,0)),"")</f>
        <v>0</v>
      </c>
      <c r="T8" s="2">
        <f>IFERROR(INDEX(T51:T500,MATCH($C$8,$B$51:$B$500,0)),"")</f>
        <v>0</v>
      </c>
      <c r="U8" s="2">
        <f>IFERROR(INDEX(U51:U500,MATCH($C$8,$B$51:$B$500,0)),"")</f>
        <v>0</v>
      </c>
      <c r="V8" s="2">
        <f>IFERROR(INDEX(V51:V500,MATCH($C$8,$B$51:$B$500,0)),"")</f>
        <v>0</v>
      </c>
      <c r="W8" s="2">
        <f>IFERROR(INDEX(W51:W500,MATCH($C$8,$B$51:$B$500,0)),"")</f>
        <v>0</v>
      </c>
      <c r="X8" s="2">
        <f>IFERROR(INDEX(X51:X500,MATCH($C$8,$B$51:$B$500,0)),"")</f>
        <v>0</v>
      </c>
      <c r="Y8" s="2">
        <f>IFERROR(INDEX(Y51:Y500,MATCH($C$8,$B$51:$B$500,0)),"")</f>
        <v>0</v>
      </c>
      <c r="Z8" s="2">
        <f>IFERROR(INDEX(Z51:Z500,MATCH($C$8,$B$51:$B$500,0)),"")</f>
        <v>0</v>
      </c>
    </row>
    <row r="9">
      <c r="A9" t="str">
        <v>Free cash flow per share (Quarter)</v>
      </c>
      <c r="C9" t="str">
        <v>Free cash flow per share (Annual)</v>
      </c>
      <c r="D9" s="2">
        <f>IFERROR(INDEX(C51:C500,MATCH("Free cash flow per share (Quarter)",$B$51:$B$500,0)),"")</f>
        <v>0</v>
      </c>
      <c r="H9" s="2">
        <f>IFERROR(INDEX(H51:H500,MATCH($C$9,$B$51:$B$500,0)),"")</f>
        <v>0</v>
      </c>
      <c r="I9" s="2">
        <f>IFERROR(INDEX(I51:I500,MATCH($C$9,$B$51:$B$500,0)),"")</f>
        <v>0</v>
      </c>
      <c r="J9" s="2">
        <f>IFERROR(INDEX(J51:J500,MATCH($C$9,$B$51:$B$500,0)),"")</f>
        <v>0</v>
      </c>
      <c r="K9" s="2">
        <f>IFERROR(INDEX(K51:K500,MATCH($C$9,$B$51:$B$500,0)),"")</f>
        <v>0</v>
      </c>
      <c r="L9" s="2">
        <f>IFERROR(INDEX(L51:L500,MATCH($C$9,$B$51:$B$500,0)),"")</f>
        <v>0</v>
      </c>
      <c r="M9" s="2">
        <f>IFERROR(INDEX(M51:M500,MATCH($C$9,$B$51:$B$500,0)),"")</f>
        <v>0</v>
      </c>
      <c r="N9" s="2">
        <f>IFERROR(INDEX(N51:N500,MATCH($C$9,$B$51:$B$500,0)),"")</f>
        <v>0</v>
      </c>
      <c r="O9" s="2">
        <f>IFERROR(INDEX(O51:O500,MATCH($C$9,$B$51:$B$500,0)),"")</f>
        <v>0</v>
      </c>
      <c r="P9" s="2">
        <f>IFERROR(INDEX(P51:P500,MATCH($C$9,$B$51:$B$500,0)),"")</f>
        <v>0</v>
      </c>
      <c r="Q9" s="2">
        <f>IFERROR(INDEX(Q51:Q500,MATCH($C$9,$B$51:$B$500,0)),"")</f>
        <v>0</v>
      </c>
      <c r="R9" s="2">
        <f>IFERROR(INDEX(R51:R500,MATCH($C$9,$B$51:$B$500,0)),"")</f>
        <v>0</v>
      </c>
      <c r="S9" s="2">
        <f>IFERROR(INDEX(S51:S500,MATCH($C$9,$B$51:$B$500,0)),"")</f>
        <v>0</v>
      </c>
      <c r="T9" s="2">
        <f>IFERROR(INDEX(T51:T500,MATCH($C$9,$B$51:$B$500,0)),"")</f>
        <v>0</v>
      </c>
      <c r="U9" s="2">
        <f>IFERROR(INDEX(U51:U500,MATCH($C$9,$B$51:$B$500,0)),"")</f>
        <v>0</v>
      </c>
      <c r="V9" s="2">
        <f>IFERROR(INDEX(V51:V500,MATCH($C$9,$B$51:$B$500,0)),"")</f>
        <v>0</v>
      </c>
      <c r="W9" s="2">
        <f>IFERROR(INDEX(W51:W500,MATCH($C$9,$B$51:$B$500,0)),"")</f>
        <v>0</v>
      </c>
      <c r="X9" s="2">
        <f>IFERROR(INDEX(X51:X500,MATCH($C$9,$B$51:$B$500,0)),"")</f>
        <v>0</v>
      </c>
      <c r="Y9" s="2">
        <f>IFERROR(INDEX(Y51:Y500,MATCH($C$9,$B$51:$B$500,0)),"")</f>
        <v>0</v>
      </c>
      <c r="Z9" s="2">
        <f>IFERROR(INDEX(Z51:Z500,MATCH($C$9,$B$51:$B$500,0)),"")</f>
        <v>0</v>
      </c>
    </row>
    <row r="10">
      <c r="C10" t="str">
        <v>Price to Free Cash Flow (P/FCF)</v>
      </c>
      <c r="D10" s="2">
        <f>IFERROR(IF(D9=0,"",D2/D9),"")</f>
        <v>0</v>
      </c>
      <c r="I10" s="2">
        <f>IFERROR(IF(I9=0,"",I2/I9),"")</f>
        <v>0</v>
      </c>
      <c r="J10" s="2">
        <f>IFERROR(IF(J9=0,"",J2/J9),"")</f>
        <v>0</v>
      </c>
      <c r="K10" s="2">
        <f>IFERROR(IF(K9=0,"",K2/K9),"")</f>
        <v>0</v>
      </c>
      <c r="L10" s="2">
        <f>IFERROR(IF(L9=0,"",L2/L9),"")</f>
        <v>0</v>
      </c>
      <c r="M10" s="2">
        <f>IFERROR(IF(M9=0,"",M2/M9),"")</f>
        <v>0</v>
      </c>
      <c r="N10" s="2">
        <f>IFERROR(IF(N9=0,"",N2/N9),"")</f>
        <v>0</v>
      </c>
      <c r="O10" s="2">
        <f>IFERROR(IF(O9=0,"",O2/O9),"")</f>
        <v>0</v>
      </c>
      <c r="P10" s="2">
        <f>IFERROR(IF(P9=0,"",P2/P9),"")</f>
        <v>0</v>
      </c>
      <c r="Q10" s="2">
        <f>IFERROR(IF(Q9=0,"",Q2/Q9),"")</f>
        <v>0</v>
      </c>
      <c r="R10" s="2">
        <f>IFERROR(IF(R9=0,"",R2/R9),"")</f>
        <v>0</v>
      </c>
      <c r="S10" s="2">
        <f>IFERROR(IF(S9=0,"",S2/S9),"")</f>
        <v>0</v>
      </c>
      <c r="T10" s="2">
        <f>IFERROR(IF(T9=0,"",T2/T9),"")</f>
        <v>0</v>
      </c>
      <c r="U10" s="2">
        <f>IFERROR(IF(U9=0,"",U2/U9),"")</f>
        <v>0</v>
      </c>
      <c r="V10" s="2">
        <f>IFERROR(IF(V9=0,"",V2/V9),"")</f>
        <v>0</v>
      </c>
      <c r="W10" s="2">
        <f>IFERROR(IF(W9=0,"",W2/W9),"")</f>
        <v>0</v>
      </c>
      <c r="X10" s="2">
        <f>IFERROR(IF(X9=0,"",X2/X9),"")</f>
        <v>0</v>
      </c>
      <c r="Y10" s="2">
        <f>IFERROR(IF(Y9=0,"",Y2/Y9),"")</f>
        <v>0</v>
      </c>
      <c r="Z10" s="2">
        <f>IFERROR(IF(Z9=0,"",Z2/Z9),"")</f>
        <v>0</v>
      </c>
    </row>
    <row r="11">
      <c r="B11" t="str">
        <v>Total Kas</v>
      </c>
      <c r="C11" t="str">
        <v>Kas Dan Setara Kas</v>
      </c>
      <c r="D11" s="2">
        <f>IFERROR(INDEX(C51:C500,MATCH($C$11,$B$51:$B$500,0)),"")</f>
        <v>0</v>
      </c>
      <c r="H11" s="2">
        <f>IFERROR(INDEX(H51:H500,MATCH($C$11,$B$51:$B$500,0)),"")</f>
        <v>0</v>
      </c>
      <c r="I11" s="2">
        <f>IFERROR(INDEX(I51:I500,MATCH($C$11,$B$51:$B$500,0)),"")</f>
        <v>0</v>
      </c>
      <c r="J11" s="2">
        <f>IFERROR(INDEX(J51:J500,MATCH($C$11,$B$51:$B$500,0)),"")</f>
        <v>0</v>
      </c>
      <c r="K11" s="2">
        <f>IFERROR(INDEX(K51:K500,MATCH($C$11,$B$51:$B$500,0)),"")</f>
        <v>0</v>
      </c>
      <c r="L11" s="2">
        <f>IFERROR(INDEX(L51:L500,MATCH($C$11,$B$51:$B$500,0)),"")</f>
        <v>0</v>
      </c>
      <c r="M11" s="2">
        <f>IFERROR(INDEX(M51:M500,MATCH($C$11,$B$51:$B$500,0)),"")</f>
        <v>0</v>
      </c>
      <c r="N11" s="2">
        <f>IFERROR(INDEX(N51:N500,MATCH($C$11,$B$51:$B$500,0)),"")</f>
        <v>0</v>
      </c>
      <c r="O11" s="2">
        <f>IFERROR(INDEX(O51:O500,MATCH($C$11,$B$51:$B$500,0)),"")</f>
        <v>0</v>
      </c>
      <c r="P11" s="2">
        <f>IFERROR(INDEX(P51:P500,MATCH($C$11,$B$51:$B$500,0)),"")</f>
        <v>0</v>
      </c>
      <c r="Q11" s="2">
        <f>IFERROR(INDEX(Q51:Q500,MATCH($C$11,$B$51:$B$500,0)),"")</f>
        <v>0</v>
      </c>
      <c r="R11" s="2">
        <f>IFERROR(INDEX(R51:R500,MATCH($C$11,$B$51:$B$500,0)),"")</f>
        <v>0</v>
      </c>
      <c r="S11" s="2">
        <f>IFERROR(INDEX(S51:S500,MATCH($C$11,$B$51:$B$500,0)),"")</f>
        <v>0</v>
      </c>
      <c r="T11" s="2">
        <f>IFERROR(INDEX(T51:T500,MATCH($C$11,$B$51:$B$500,0)),"")</f>
        <v>0</v>
      </c>
      <c r="U11" s="2">
        <f>IFERROR(INDEX(U51:U500,MATCH($C$11,$B$51:$B$500,0)),"")</f>
        <v>0</v>
      </c>
      <c r="V11" s="2">
        <f>IFERROR(INDEX(V51:V500,MATCH($C$11,$B$51:$B$500,0)),"")</f>
        <v>0</v>
      </c>
      <c r="W11" s="2">
        <f>IFERROR(INDEX(W51:W500,MATCH($C$11,$B$51:$B$500,0)),"")</f>
        <v>0</v>
      </c>
      <c r="X11" s="2">
        <f>IFERROR(INDEX(X51:X500,MATCH($C$11,$B$51:$B$500,0)),"")</f>
        <v>0</v>
      </c>
      <c r="Y11" s="2">
        <f>IFERROR(INDEX(Y51:Y500,MATCH($C$11,$B$51:$B$500,0)),"")</f>
        <v>0</v>
      </c>
      <c r="Z11" s="2">
        <f>IFERROR(INDEX(Z51:Z500,MATCH($C$11,$B$51:$B$500,0)),"")</f>
        <v>0</v>
      </c>
    </row>
    <row r="12">
      <c r="A12" t="str">
        <v>Net Debt (Quarter)</v>
      </c>
      <c r="B12" t="str">
        <v>Net hutang sudah di kurangi kas</v>
      </c>
      <c r="C12" t="str">
        <v>Net Debt (Annual)</v>
      </c>
      <c r="D12" s="2">
        <f>IFERROR(INDEX(C51:C500,MATCH("Net Debt (Quarter)",$B$51:$B$500,0)),"")</f>
        <v>0</v>
      </c>
      <c r="H12" s="2">
        <f>IFERROR(INDEX(H51:H500,MATCH($C$12,$B$51:$B$500,0)),"")</f>
        <v>0</v>
      </c>
      <c r="I12" s="2">
        <f>IFERROR(INDEX(I51:I500,MATCH($C$12,$B$51:$B$500,0)),"")</f>
        <v>0</v>
      </c>
      <c r="J12" s="2">
        <f>IFERROR(INDEX(J51:J500,MATCH($C$12,$B$51:$B$500,0)),"")</f>
        <v>0</v>
      </c>
      <c r="K12" s="2">
        <f>IFERROR(INDEX(K51:K500,MATCH($C$12,$B$51:$B$500,0)),"")</f>
        <v>0</v>
      </c>
      <c r="L12" s="2">
        <f>IFERROR(INDEX(L51:L500,MATCH($C$12,$B$51:$B$500,0)),"")</f>
        <v>0</v>
      </c>
      <c r="M12" s="2">
        <f>IFERROR(INDEX(M51:M500,MATCH($C$12,$B$51:$B$500,0)),"")</f>
        <v>0</v>
      </c>
      <c r="N12" s="2">
        <f>IFERROR(INDEX(N51:N500,MATCH($C$12,$B$51:$B$500,0)),"")</f>
        <v>0</v>
      </c>
      <c r="O12" s="2">
        <f>IFERROR(INDEX(O51:O500,MATCH($C$12,$B$51:$B$500,0)),"")</f>
        <v>0</v>
      </c>
      <c r="P12" s="2">
        <f>IFERROR(INDEX(P51:P500,MATCH($C$12,$B$51:$B$500,0)),"")</f>
        <v>0</v>
      </c>
      <c r="Q12" s="2">
        <f>IFERROR(INDEX(Q51:Q500,MATCH($C$12,$B$51:$B$500,0)),"")</f>
        <v>0</v>
      </c>
      <c r="R12" s="2">
        <f>IFERROR(INDEX(R51:R500,MATCH($C$12,$B$51:$B$500,0)),"")</f>
        <v>0</v>
      </c>
      <c r="S12" s="2">
        <f>IFERROR(INDEX(S51:S500,MATCH($C$12,$B$51:$B$500,0)),"")</f>
        <v>0</v>
      </c>
      <c r="T12" s="2">
        <f>IFERROR(INDEX(T51:T500,MATCH($C$12,$B$51:$B$500,0)),"")</f>
        <v>0</v>
      </c>
      <c r="U12" s="2">
        <f>IFERROR(INDEX(U51:U500,MATCH($C$12,$B$51:$B$500,0)),"")</f>
        <v>0</v>
      </c>
      <c r="V12" s="2">
        <f>IFERROR(INDEX(V51:V500,MATCH($C$12,$B$51:$B$500,0)),"")</f>
        <v>0</v>
      </c>
      <c r="W12" s="2">
        <f>IFERROR(INDEX(W51:W500,MATCH($C$12,$B$51:$B$500,0)),"")</f>
        <v>0</v>
      </c>
      <c r="X12" s="2">
        <f>IFERROR(INDEX(X51:X500,MATCH($C$12,$B$51:$B$500,0)),"")</f>
        <v>0</v>
      </c>
      <c r="Y12" s="2">
        <f>IFERROR(INDEX(Y51:Y500,MATCH($C$12,$B$51:$B$500,0)),"")</f>
        <v>0</v>
      </c>
      <c r="Z12" s="2">
        <f>IFERROR(INDEX(Z51:Z500,MATCH($C$12,$B$51:$B$500,0)),"")</f>
        <v>0</v>
      </c>
    </row>
    <row r="13">
      <c r="A13" t="str">
        <v>Total Debt (Quarter)</v>
      </c>
      <c r="B13" t="str">
        <v>WACC</v>
      </c>
      <c r="C13" t="str">
        <v>Total Debt (Annual)</v>
      </c>
      <c r="D13" s="2">
        <f>IFERROR(INDEX(C51:C500,MATCH("Total Debt (Quarter)",$B$51:$B$500,0)),"")</f>
        <v>0</v>
      </c>
      <c r="H13" s="2">
        <f>IFERROR(INDEX(H51:H500,MATCH($C$13,$B$51:$B$500,0)),"")</f>
        <v>0</v>
      </c>
      <c r="I13" s="2">
        <f>IFERROR(INDEX(I51:I500,MATCH($C$13,$B$51:$B$500,0)),"")</f>
        <v>0</v>
      </c>
      <c r="J13" s="2">
        <f>IFERROR(INDEX(J51:J500,MATCH($C$13,$B$51:$B$500,0)),"")</f>
        <v>0</v>
      </c>
      <c r="K13" s="2">
        <f>IFERROR(INDEX(K51:K500,MATCH($C$13,$B$51:$B$500,0)),"")</f>
        <v>0</v>
      </c>
      <c r="L13" s="2">
        <f>IFERROR(INDEX(L51:L500,MATCH($C$13,$B$51:$B$500,0)),"")</f>
        <v>0</v>
      </c>
      <c r="M13" s="2">
        <f>IFERROR(INDEX(M51:M500,MATCH($C$13,$B$51:$B$500,0)),"")</f>
        <v>0</v>
      </c>
      <c r="N13" s="2">
        <f>IFERROR(INDEX(N51:N500,MATCH($C$13,$B$51:$B$500,0)),"")</f>
        <v>0</v>
      </c>
      <c r="O13" s="2">
        <f>IFERROR(INDEX(O51:O500,MATCH($C$13,$B$51:$B$500,0)),"")</f>
        <v>0</v>
      </c>
      <c r="P13" s="2">
        <f>IFERROR(INDEX(P51:P500,MATCH($C$13,$B$51:$B$500,0)),"")</f>
        <v>0</v>
      </c>
      <c r="Q13" s="2">
        <f>IFERROR(INDEX(Q51:Q500,MATCH($C$13,$B$51:$B$500,0)),"")</f>
        <v>0</v>
      </c>
      <c r="R13" s="2">
        <f>IFERROR(INDEX(R51:R500,MATCH($C$13,$B$51:$B$500,0)),"")</f>
        <v>0</v>
      </c>
      <c r="S13" s="2">
        <f>IFERROR(INDEX(S51:S500,MATCH($C$13,$B$51:$B$500,0)),"")</f>
        <v>0</v>
      </c>
      <c r="T13" s="2">
        <f>IFERROR(INDEX(T51:T500,MATCH($C$13,$B$51:$B$500,0)),"")</f>
        <v>0</v>
      </c>
      <c r="U13" s="2">
        <f>IFERROR(INDEX(U51:U500,MATCH($C$13,$B$51:$B$500,0)),"")</f>
        <v>0</v>
      </c>
      <c r="V13" s="2">
        <f>IFERROR(INDEX(V51:V500,MATCH($C$13,$B$51:$B$500,0)),"")</f>
        <v>0</v>
      </c>
      <c r="W13" s="2">
        <f>IFERROR(INDEX(W51:W500,MATCH($C$13,$B$51:$B$500,0)),"")</f>
        <v>0</v>
      </c>
      <c r="X13" s="2">
        <f>IFERROR(INDEX(X51:X500,MATCH($C$13,$B$51:$B$500,0)),"")</f>
        <v>0</v>
      </c>
      <c r="Y13" s="2">
        <f>IFERROR(INDEX(Y51:Y500,MATCH($C$13,$B$51:$B$500,0)),"")</f>
        <v>0</v>
      </c>
      <c r="Z13" s="2">
        <f>IFERROR(INDEX(Z51:Z500,MATCH($C$13,$B$51:$B$500,0)),"")</f>
        <v>0</v>
      </c>
    </row>
    <row r="14">
      <c r="C14" t="str">
        <v>Beban Keuangan</v>
      </c>
      <c r="D14" s="2">
        <f>IFERROR(INDEX(C51:C500,MATCH($C$14,$B$51:$B$500,0)),"")</f>
        <v>0</v>
      </c>
      <c r="H14" s="2">
        <f>IFERROR(SUM(D14:G14)*(4/MAX(1,COUNT(D14:G14))),=IFERROR(INDEX(H51:H500,MATCH($C$14,$B$51:$B$500,0)),""))</f>
        <v>0</v>
      </c>
      <c r="I14" s="2">
        <f>IFERROR(INDEX(I51:I500,MATCH($C$14,$B$51:$B$500,0)),"")</f>
        <v>0</v>
      </c>
      <c r="J14" s="2">
        <f>IFERROR(INDEX(J51:J500,MATCH($C$14,$B$51:$B$500,0)),"")</f>
        <v>0</v>
      </c>
      <c r="K14" s="2">
        <f>IFERROR(INDEX(K51:K500,MATCH($C$14,$B$51:$B$500,0)),"")</f>
        <v>0</v>
      </c>
      <c r="L14" s="2">
        <f>IFERROR(INDEX(L51:L500,MATCH($C$14,$B$51:$B$500,0)),"")</f>
        <v>0</v>
      </c>
      <c r="M14" s="2">
        <f>IFERROR(INDEX(M51:M500,MATCH($C$14,$B$51:$B$500,0)),"")</f>
        <v>0</v>
      </c>
      <c r="N14" s="2">
        <f>IFERROR(INDEX(N51:N500,MATCH($C$14,$B$51:$B$500,0)),"")</f>
        <v>0</v>
      </c>
      <c r="O14" s="2">
        <f>IFERROR(INDEX(O51:O500,MATCH($C$14,$B$51:$B$500,0)),"")</f>
        <v>0</v>
      </c>
      <c r="P14" s="2">
        <f>IFERROR(INDEX(P51:P500,MATCH($C$14,$B$51:$B$500,0)),"")</f>
        <v>0</v>
      </c>
      <c r="Q14" s="2">
        <f>IFERROR(INDEX(Q51:Q500,MATCH($C$14,$B$51:$B$500,0)),"")</f>
        <v>0</v>
      </c>
      <c r="R14" s="2">
        <f>IFERROR(INDEX(R51:R500,MATCH($C$14,$B$51:$B$500,0)),"")</f>
        <v>0</v>
      </c>
      <c r="S14" s="2">
        <f>IFERROR(INDEX(S51:S500,MATCH($C$14,$B$51:$B$500,0)),"")</f>
        <v>0</v>
      </c>
      <c r="T14" s="2">
        <f>IFERROR(INDEX(T51:T500,MATCH($C$14,$B$51:$B$500,0)),"")</f>
        <v>0</v>
      </c>
      <c r="U14" s="2">
        <f>IFERROR(INDEX(U51:U500,MATCH($C$14,$B$51:$B$500,0)),"")</f>
        <v>0</v>
      </c>
      <c r="V14" s="2">
        <f>IFERROR(INDEX(V51:V500,MATCH($C$14,$B$51:$B$500,0)),"")</f>
        <v>0</v>
      </c>
      <c r="W14" s="2">
        <f>IFERROR(INDEX(W51:W500,MATCH($C$14,$B$51:$B$500,0)),"")</f>
        <v>0</v>
      </c>
      <c r="X14" s="2">
        <f>IFERROR(INDEX(X51:X500,MATCH($C$14,$B$51:$B$500,0)),"")</f>
        <v>0</v>
      </c>
      <c r="Y14" s="2">
        <f>IFERROR(INDEX(Y51:Y500,MATCH($C$14,$B$51:$B$500,0)),"")</f>
        <v>0</v>
      </c>
      <c r="Z14" s="2">
        <f>IFERROR(INDEX(Z51:Z500,MATCH($C$14,$B$51:$B$500,0)),"")</f>
        <v>0</v>
      </c>
    </row>
    <row r="15">
      <c r="C15" t="str">
        <v>Beban Pajak Penghasilan</v>
      </c>
      <c r="D15" s="2">
        <f>IFERROR(INDEX(C51:C500,MATCH($C$15,$B$51:$B$500,0)),"")</f>
        <v>0</v>
      </c>
      <c r="H15" s="2">
        <f>IFERROR(SUM(D15:G15)*(4/MAX(1,COUNT(D15:G15))),=IFERROR(INDEX(H51:H500,MATCH($C$15,$B$51:$B$500,0)),""))</f>
        <v>0</v>
      </c>
      <c r="I15" s="2">
        <f>IFERROR(INDEX(I51:I500,MATCH($C$15,$B$51:$B$500,0)),"")</f>
        <v>0</v>
      </c>
      <c r="J15" s="2">
        <f>IFERROR(INDEX(J51:J500,MATCH($C$15,$B$51:$B$500,0)),"")</f>
        <v>0</v>
      </c>
      <c r="K15" s="2">
        <f>IFERROR(INDEX(K51:K500,MATCH($C$15,$B$51:$B$500,0)),"")</f>
        <v>0</v>
      </c>
      <c r="L15" s="2">
        <f>IFERROR(INDEX(L51:L500,MATCH($C$15,$B$51:$B$500,0)),"")</f>
        <v>0</v>
      </c>
      <c r="M15" s="2">
        <f>IFERROR(INDEX(M51:M500,MATCH($C$15,$B$51:$B$500,0)),"")</f>
        <v>0</v>
      </c>
      <c r="N15" s="2">
        <f>IFERROR(INDEX(N51:N500,MATCH($C$15,$B$51:$B$500,0)),"")</f>
        <v>0</v>
      </c>
      <c r="O15" s="2">
        <f>IFERROR(INDEX(O51:O500,MATCH($C$15,$B$51:$B$500,0)),"")</f>
        <v>0</v>
      </c>
      <c r="P15" s="2">
        <f>IFERROR(INDEX(P51:P500,MATCH($C$15,$B$51:$B$500,0)),"")</f>
        <v>0</v>
      </c>
      <c r="Q15" s="2">
        <f>IFERROR(INDEX(Q51:Q500,MATCH($C$15,$B$51:$B$500,0)),"")</f>
        <v>0</v>
      </c>
      <c r="R15" s="2">
        <f>IFERROR(INDEX(R51:R500,MATCH($C$15,$B$51:$B$500,0)),"")</f>
        <v>0</v>
      </c>
      <c r="S15" s="2">
        <f>IFERROR(INDEX(S51:S500,MATCH($C$15,$B$51:$B$500,0)),"")</f>
        <v>0</v>
      </c>
      <c r="T15" s="2">
        <f>IFERROR(INDEX(T51:T500,MATCH($C$15,$B$51:$B$500,0)),"")</f>
        <v>0</v>
      </c>
      <c r="U15" s="2">
        <f>IFERROR(INDEX(U51:U500,MATCH($C$15,$B$51:$B$500,0)),"")</f>
        <v>0</v>
      </c>
      <c r="V15" s="2">
        <f>IFERROR(INDEX(V51:V500,MATCH($C$15,$B$51:$B$500,0)),"")</f>
        <v>0</v>
      </c>
      <c r="W15" s="2">
        <f>IFERROR(INDEX(W51:W500,MATCH($C$15,$B$51:$B$500,0)),"")</f>
        <v>0</v>
      </c>
      <c r="X15" s="2">
        <f>IFERROR(INDEX(X51:X500,MATCH($C$15,$B$51:$B$500,0)),"")</f>
        <v>0</v>
      </c>
      <c r="Y15" s="2">
        <f>IFERROR(INDEX(Y51:Y500,MATCH($C$15,$B$51:$B$500,0)),"")</f>
        <v>0</v>
      </c>
      <c r="Z15" s="2">
        <f>IFERROR(INDEX(Z51:Z500,MATCH($C$15,$B$51:$B$500,0)),"")</f>
        <v>0</v>
      </c>
    </row>
    <row r="16">
      <c r="C16" t="str">
        <v>Laba Sebelum Pajak</v>
      </c>
      <c r="D16" s="2">
        <f>IFERROR(INDEX(C51:C500,MATCH($C$16,$B$51:$B$500,0)),"")</f>
        <v>0</v>
      </c>
      <c r="H16" s="2">
        <f>IFERROR(SUM(D16:G16)*(4/MAX(1,COUNT(D16:G16))),=IFERROR(INDEX(H51:H500,MATCH($C$16,$B$51:$B$500,0)),""))</f>
        <v>0</v>
      </c>
      <c r="I16" s="2">
        <f>IFERROR(INDEX(I51:I500,MATCH($C$16,$B$51:$B$500,0)),"")</f>
        <v>0</v>
      </c>
      <c r="J16" s="2">
        <f>IFERROR(INDEX(J51:J500,MATCH($C$16,$B$51:$B$500,0)),"")</f>
        <v>0</v>
      </c>
      <c r="K16" s="2">
        <f>IFERROR(INDEX(K51:K500,MATCH($C$16,$B$51:$B$500,0)),"")</f>
        <v>0</v>
      </c>
      <c r="L16" s="2">
        <f>IFERROR(INDEX(L51:L500,MATCH($C$16,$B$51:$B$500,0)),"")</f>
        <v>0</v>
      </c>
      <c r="M16" s="2">
        <f>IFERROR(INDEX(M51:M500,MATCH($C$16,$B$51:$B$500,0)),"")</f>
        <v>0</v>
      </c>
      <c r="N16" s="2">
        <f>IFERROR(INDEX(N51:N500,MATCH($C$16,$B$51:$B$500,0)),"")</f>
        <v>0</v>
      </c>
      <c r="O16" s="2">
        <f>IFERROR(INDEX(O51:O500,MATCH($C$16,$B$51:$B$500,0)),"")</f>
        <v>0</v>
      </c>
      <c r="P16" s="2">
        <f>IFERROR(INDEX(P51:P500,MATCH($C$16,$B$51:$B$500,0)),"")</f>
        <v>0</v>
      </c>
      <c r="Q16" s="2">
        <f>IFERROR(INDEX(Q51:Q500,MATCH($C$16,$B$51:$B$500,0)),"")</f>
        <v>0</v>
      </c>
      <c r="R16" s="2">
        <f>IFERROR(INDEX(R51:R500,MATCH($C$16,$B$51:$B$500,0)),"")</f>
        <v>0</v>
      </c>
      <c r="S16" s="2">
        <f>IFERROR(INDEX(S51:S500,MATCH($C$16,$B$51:$B$500,0)),"")</f>
        <v>0</v>
      </c>
      <c r="T16" s="2">
        <f>IFERROR(INDEX(T51:T500,MATCH($C$16,$B$51:$B$500,0)),"")</f>
        <v>0</v>
      </c>
      <c r="U16" s="2">
        <f>IFERROR(INDEX(U51:U500,MATCH($C$16,$B$51:$B$500,0)),"")</f>
        <v>0</v>
      </c>
      <c r="V16" s="2">
        <f>IFERROR(INDEX(V51:V500,MATCH($C$16,$B$51:$B$500,0)),"")</f>
        <v>0</v>
      </c>
      <c r="W16" s="2">
        <f>IFERROR(INDEX(W51:W500,MATCH($C$16,$B$51:$B$500,0)),"")</f>
        <v>0</v>
      </c>
      <c r="X16" s="2">
        <f>IFERROR(INDEX(X51:X500,MATCH($C$16,$B$51:$B$500,0)),"")</f>
        <v>0</v>
      </c>
      <c r="Y16" s="2">
        <f>IFERROR(INDEX(Y51:Y500,MATCH($C$16,$B$51:$B$500,0)),"")</f>
        <v>0</v>
      </c>
      <c r="Z16" s="2">
        <f>IFERROR(INDEX(Z51:Z500,MATCH($C$16,$B$51:$B$500,0)),"")</f>
        <v>0</v>
      </c>
    </row>
    <row r="17">
      <c r="A17" t="str">
        <v>Cara Membaca P/FCF</v>
      </c>
    </row>
    <row r="18">
      <c r="A18" t="str">
        <v>Rendah (misal &lt; 15)</v>
      </c>
      <c r="D18" t="str">
        <v>Q1</v>
      </c>
      <c r="H18" t="str">
        <v>tahun Berjalan</v>
      </c>
      <c r="I18" t="str">
        <v>12M 2024</v>
      </c>
      <c r="J18" t="str">
        <v>12M 2023</v>
      </c>
      <c r="K18" t="str">
        <v>12M 2022</v>
      </c>
      <c r="L18" t="str">
        <v>12M 2021</v>
      </c>
      <c r="M18" t="str">
        <v>12M 2020</v>
      </c>
      <c r="N18" t="str">
        <v>12M 2019</v>
      </c>
      <c r="O18" t="str">
        <v>12M 2018</v>
      </c>
      <c r="P18" t="str">
        <v>12M 2017</v>
      </c>
      <c r="Q18" t="str">
        <v>12M 2016</v>
      </c>
      <c r="R18" t="str">
        <v>12M 2015</v>
      </c>
      <c r="S18" t="str">
        <v>12M 2014</v>
      </c>
      <c r="T18" t="str">
        <v>12M 2013</v>
      </c>
      <c r="U18" t="str">
        <v>12M 2012</v>
      </c>
      <c r="V18" t="str">
        <v>12M 2011</v>
      </c>
      <c r="W18" t="str">
        <v>12M 2010</v>
      </c>
      <c r="X18" t="str">
        <v>12M 2009</v>
      </c>
      <c r="Y18" t="str">
        <v>12M 2008</v>
      </c>
      <c r="Z18" t="str">
        <v>12M 2007</v>
      </c>
    </row>
    <row r="19">
      <c r="A19" t="str">
        <v>Tinggi (misal &gt; 30)</v>
      </c>
      <c r="C19" t="str">
        <v>Dalam IDR</v>
      </c>
    </row>
    <row r="20">
      <c r="A20" t="str">
        <v>FCF negatif — perusahaan belum menghasilkan kas bebas</v>
      </c>
      <c r="C20" t="str">
        <v>Market Cap</v>
      </c>
      <c r="D20" s="2">
        <f>D21*D2</f>
        <v>0</v>
      </c>
      <c r="H20" s="2">
        <f>H21*H2</f>
        <v>0</v>
      </c>
      <c r="I20" s="2">
        <f>I21*I2</f>
        <v>0</v>
      </c>
      <c r="J20" s="2">
        <f>J21*J2</f>
        <v>0</v>
      </c>
      <c r="K20" s="2">
        <f>K21*K2</f>
        <v>0</v>
      </c>
      <c r="L20" s="2">
        <f>L21*L2</f>
        <v>0</v>
      </c>
      <c r="M20" s="2">
        <f>M21*M2</f>
        <v>0</v>
      </c>
      <c r="N20" s="2">
        <f>N21*N2</f>
        <v>0</v>
      </c>
      <c r="O20" s="2">
        <f>O21*O2</f>
        <v>0</v>
      </c>
      <c r="P20" s="2">
        <f>P21*P2</f>
        <v>0</v>
      </c>
      <c r="Q20" s="2">
        <f>Q21*Q2</f>
        <v>0</v>
      </c>
      <c r="R20" s="2">
        <f>R21*R2</f>
        <v>0</v>
      </c>
      <c r="S20" s="2">
        <f>S21*S2</f>
        <v>0</v>
      </c>
      <c r="T20" s="2">
        <f>T21*T2</f>
        <v>0</v>
      </c>
      <c r="U20" s="2">
        <f>U21*U2</f>
        <v>0</v>
      </c>
      <c r="V20" s="2">
        <f>V21*V2</f>
        <v>0</v>
      </c>
      <c r="W20" s="2">
        <f>W21*W2</f>
        <v>0</v>
      </c>
      <c r="X20" s="2">
        <f>X21*X2</f>
        <v>0</v>
      </c>
      <c r="Y20" s="2">
        <f>Y21*Y2</f>
        <v>0</v>
      </c>
      <c r="Z20" s="2">
        <f>Z21*Z2</f>
        <v>0</v>
      </c>
    </row>
    <row r="21">
      <c r="C21" t="str">
        <v>Share Outstanding</v>
      </c>
      <c r="D21" s="2">
        <f>IFERROR(INDEX(C51:C500,MATCH("Share Outstanding",$B$51:$B$500,0)),"")</f>
        <v>0</v>
      </c>
      <c r="H21" s="2">
        <f>IFERROR(INDEX(H51:H500,MATCH("Share Outstanding",$B$51:$B$500,0)),"")</f>
        <v>0</v>
      </c>
      <c r="I21" s="2">
        <f>IFERROR(INDEX(I51:I500,MATCH("Share Outstanding",$B$51:$B$500,0)),"")</f>
        <v>0</v>
      </c>
      <c r="J21" s="2">
        <f>IFERROR(INDEX(J51:J500,MATCH("Share Outstanding",$B$51:$B$500,0)),"")</f>
        <v>0</v>
      </c>
      <c r="K21" s="2">
        <f>IFERROR(INDEX(K51:K500,MATCH("Share Outstanding",$B$51:$B$500,0)),"")</f>
        <v>0</v>
      </c>
      <c r="L21" s="2">
        <f>IFERROR(INDEX(L51:L500,MATCH("Share Outstanding",$B$51:$B$500,0)),"")</f>
        <v>0</v>
      </c>
      <c r="M21" s="2">
        <f>IFERROR(INDEX(M51:M500,MATCH("Share Outstanding",$B$51:$B$500,0)),"")</f>
        <v>0</v>
      </c>
      <c r="N21" s="2">
        <f>IFERROR(INDEX(N51:N500,MATCH("Share Outstanding",$B$51:$B$500,0)),"")</f>
        <v>0</v>
      </c>
      <c r="O21" s="2">
        <f>IFERROR(INDEX(O51:O500,MATCH("Share Outstanding",$B$51:$B$500,0)),"")</f>
        <v>0</v>
      </c>
      <c r="P21" s="2">
        <f>IFERROR(INDEX(P51:P500,MATCH("Share Outstanding",$B$51:$B$500,0)),"")</f>
        <v>0</v>
      </c>
      <c r="Q21" s="2">
        <f>IFERROR(INDEX(Q51:Q500,MATCH("Share Outstanding",$B$51:$B$500,0)),"")</f>
        <v>0</v>
      </c>
      <c r="R21" s="2">
        <f>IFERROR(INDEX(R51:R500,MATCH("Share Outstanding",$B$51:$B$500,0)),"")</f>
        <v>0</v>
      </c>
      <c r="S21" s="2">
        <f>IFERROR(INDEX(S51:S500,MATCH("Share Outstanding",$B$51:$B$500,0)),"")</f>
        <v>0</v>
      </c>
      <c r="T21" s="2">
        <f>IFERROR(INDEX(T51:T500,MATCH("Share Outstanding",$B$51:$B$500,0)),"")</f>
        <v>0</v>
      </c>
      <c r="U21" s="2">
        <f>IFERROR(INDEX(U51:U500,MATCH("Share Outstanding",$B$51:$B$500,0)),"")</f>
        <v>0</v>
      </c>
      <c r="V21" s="2">
        <f>IFERROR(INDEX(V51:V500,MATCH("Share Outstanding",$B$51:$B$500,0)),"")</f>
        <v>0</v>
      </c>
      <c r="W21" s="2">
        <f>IFERROR(INDEX(W51:W500,MATCH("Share Outstanding",$B$51:$B$500,0)),"")</f>
        <v>0</v>
      </c>
      <c r="X21" s="2">
        <f>IFERROR(INDEX(X51:X500,MATCH("Share Outstanding",$B$51:$B$500,0)),"")</f>
        <v>0</v>
      </c>
      <c r="Y21" s="2">
        <f>IFERROR(INDEX(Y51:Y500,MATCH("Share Outstanding",$B$51:$B$500,0)),"")</f>
        <v>0</v>
      </c>
      <c r="Z21" s="2">
        <f>IFERROR(INDEX(Z51:Z500,MATCH("Share Outstanding",$B$51:$B$500,0)),"")</f>
        <v>0</v>
      </c>
    </row>
    <row r="23">
      <c r="B23" t="str">
        <v>MANUAL</v>
      </c>
      <c r="C23" t="str">
        <v>ROE</v>
      </c>
      <c r="D23" s="2">
        <f>IFERROR(D5/D6*100,"")</f>
        <v>0</v>
      </c>
      <c r="H23" s="2">
        <f>IFERROR(H5/H6*100,"")</f>
        <v>0</v>
      </c>
      <c r="I23" s="2">
        <f>IFERROR(I5/I6*100,"")</f>
        <v>0</v>
      </c>
      <c r="J23" s="2">
        <f>IFERROR(J5/J6*100,"")</f>
        <v>0</v>
      </c>
      <c r="K23" s="2">
        <f>IFERROR(K5/K6*100,"")</f>
        <v>0</v>
      </c>
      <c r="L23" s="2">
        <f>IFERROR(L5/L6*100,"")</f>
        <v>0</v>
      </c>
      <c r="M23" s="2">
        <f>IFERROR(M5/M6*100,"")</f>
        <v>0</v>
      </c>
      <c r="N23" s="2">
        <f>IFERROR(N5/N6*100,"")</f>
        <v>0</v>
      </c>
      <c r="O23" s="2">
        <f>IFERROR(O5/O6*100,"")</f>
        <v>0</v>
      </c>
      <c r="P23" s="2">
        <f>IFERROR(P5/P6*100,"")</f>
        <v>0</v>
      </c>
      <c r="Q23" s="2">
        <f>IFERROR(Q5/Q6*100,"")</f>
        <v>0</v>
      </c>
      <c r="R23" s="2">
        <f>IFERROR(R5/R6*100,"")</f>
        <v>0</v>
      </c>
      <c r="S23" s="2">
        <f>IFERROR(S5/S6*100,"")</f>
        <v>0</v>
      </c>
      <c r="T23" s="2">
        <f>IFERROR(T5/T6*100,"")</f>
        <v>0</v>
      </c>
      <c r="U23" s="2">
        <f>IFERROR(U5/U6*100,"")</f>
        <v>0</v>
      </c>
      <c r="V23" s="2">
        <f>IFERROR(V5/V6*100,"")</f>
        <v>0</v>
      </c>
      <c r="W23" s="2">
        <f>IFERROR(W5/W6*100,"")</f>
        <v>0</v>
      </c>
      <c r="X23" s="2">
        <f>IFERROR(X5/X6*100,"")</f>
        <v>0</v>
      </c>
      <c r="Y23" s="2">
        <f>IFERROR(Y5/Y6*100,"")</f>
        <v>0</v>
      </c>
      <c r="Z23" s="2">
        <f>IFERROR(Z5/Z6*100,"")</f>
        <v>0</v>
      </c>
    </row>
    <row r="24">
      <c r="C24" t="str">
        <v>ROE 5 Tahun</v>
      </c>
      <c r="D24" s="2">
        <f>IFERROR(RRI(5,I23,D23),"")</f>
        <v>0</v>
      </c>
      <c r="H24" s="2">
        <f>IFERROR(RRI(5,M23,H23),"")</f>
        <v>0</v>
      </c>
      <c r="I24" s="2">
        <f>IFERROR(RRI(5,N23,I23),"")</f>
        <v>0</v>
      </c>
      <c r="J24" s="2">
        <f>IFERROR(RRI(5,O23,J23),"")</f>
        <v>0</v>
      </c>
      <c r="K24" s="2">
        <f>IFERROR(RRI(5,P23,K23),"")</f>
        <v>0</v>
      </c>
      <c r="L24" s="2">
        <f>IFERROR(RRI(5,Q23,L23),"")</f>
        <v>0</v>
      </c>
      <c r="M24" s="2">
        <f>IFERROR(RRI(5,R23,M23),"")</f>
        <v>0</v>
      </c>
      <c r="N24" s="2">
        <f>IFERROR(RRI(5,S23,N23),"")</f>
        <v>0</v>
      </c>
      <c r="O24" s="2">
        <f>IFERROR(RRI(5,T23,O23),"")</f>
        <v>0</v>
      </c>
      <c r="P24" s="2">
        <f>IFERROR(RRI(5,U23,P23),"")</f>
        <v>0</v>
      </c>
      <c r="Q24" s="2">
        <f>IFERROR(RRI(5,V23,Q23),"")</f>
        <v>0</v>
      </c>
      <c r="R24" s="2">
        <f>IFERROR(RRI(5,W23,R23),"")</f>
        <v>0</v>
      </c>
      <c r="S24" s="2">
        <f>IFERROR(RRI(5,X23,S23),"")</f>
        <v>0</v>
      </c>
      <c r="T24" s="2">
        <f>IFERROR(RRI(5,Y23,T23),"")</f>
        <v>0</v>
      </c>
      <c r="U24" s="2">
        <f>IFERROR(RRI(5,Z23,U23),"")</f>
        <v>0</v>
      </c>
      <c r="V24" s="2">
        <f>IFERROR(RRI(5,AA23,V23),"")</f>
        <v>0</v>
      </c>
      <c r="W24" s="2">
        <f>IFERROR(RRI(5,AB23,W23),"")</f>
        <v>0</v>
      </c>
      <c r="X24" s="2">
        <f>IFERROR(RRI(5,AC23,X23),"")</f>
        <v>0</v>
      </c>
      <c r="Y24" s="2">
        <f>IFERROR(RRI(5,AD23,Y23),"")</f>
        <v>0</v>
      </c>
      <c r="Z24" s="2">
        <f>IFERROR(RRI(5,AE23,Z23),"")</f>
        <v>0</v>
      </c>
    </row>
    <row r="25">
      <c r="A25" t="str">
        <v>EPS</v>
      </c>
      <c r="C25" t="str">
        <v>EPS (Annual)</v>
      </c>
      <c r="D25" s="2">
        <f>IFERROR(INDEX(C51:C500,MATCH($A$25,$B$51:$B$500,0)),"")</f>
        <v>0</v>
      </c>
      <c r="H25" s="2">
        <f>IFERROR(INDEX(H51:H500,MATCH($C$25,$B$51:$B$500,0)),"")</f>
        <v>0</v>
      </c>
      <c r="I25" s="2">
        <f>IFERROR(INDEX(I51:I500,MATCH($C$25,$B$51:$B$500,0)),"")</f>
        <v>0</v>
      </c>
      <c r="J25" s="2">
        <f>IFERROR(INDEX(J51:J500,MATCH($C$25,$B$51:$B$500,0)),"")</f>
        <v>0</v>
      </c>
      <c r="K25" s="2">
        <f>IFERROR(INDEX(K51:K500,MATCH($C$25,$B$51:$B$500,0)),"")</f>
        <v>0</v>
      </c>
      <c r="L25" s="2">
        <f>IFERROR(INDEX(L51:L500,MATCH($C$25,$B$51:$B$500,0)),"")</f>
        <v>0</v>
      </c>
      <c r="M25" s="2">
        <f>IFERROR(INDEX(M51:M500,MATCH($C$25,$B$51:$B$500,0)),"")</f>
        <v>0</v>
      </c>
      <c r="N25" s="2">
        <f>IFERROR(INDEX(N51:N500,MATCH($C$25,$B$51:$B$500,0)),"")</f>
        <v>0</v>
      </c>
      <c r="O25" s="2">
        <f>IFERROR(INDEX(O51:O500,MATCH($C$25,$B$51:$B$500,0)),"")</f>
        <v>0</v>
      </c>
      <c r="P25" s="2">
        <f>IFERROR(INDEX(P51:P500,MATCH($C$25,$B$51:$B$500,0)),"")</f>
        <v>0</v>
      </c>
      <c r="Q25" s="2">
        <f>IFERROR(INDEX(Q51:Q500,MATCH($C$25,$B$51:$B$500,0)),"")</f>
        <v>0</v>
      </c>
      <c r="R25" s="2">
        <f>IFERROR(INDEX(R51:R500,MATCH($C$25,$B$51:$B$500,0)),"")</f>
        <v>0</v>
      </c>
      <c r="S25" s="2">
        <f>IFERROR(INDEX(S51:S500,MATCH($C$25,$B$51:$B$500,0)),"")</f>
        <v>0</v>
      </c>
      <c r="T25" s="2">
        <f>IFERROR(INDEX(T51:T500,MATCH($C$25,$B$51:$B$500,0)),"")</f>
        <v>0</v>
      </c>
      <c r="U25" s="2">
        <f>IFERROR(INDEX(U51:U500,MATCH($C$25,$B$51:$B$500,0)),"")</f>
        <v>0</v>
      </c>
      <c r="V25" s="2">
        <f>IFERROR(INDEX(V51:V500,MATCH($C$25,$B$51:$B$500,0)),"")</f>
        <v>0</v>
      </c>
      <c r="W25" s="2">
        <f>IFERROR(INDEX(W51:W500,MATCH($C$25,$B$51:$B$500,0)),"")</f>
        <v>0</v>
      </c>
      <c r="X25" s="2">
        <f>IFERROR(INDEX(X51:X500,MATCH($C$25,$B$51:$B$500,0)),"")</f>
        <v>0</v>
      </c>
      <c r="Y25" s="2">
        <f>IFERROR(INDEX(Y51:Y500,MATCH($C$25,$B$51:$B$500,0)),"")</f>
        <v>0</v>
      </c>
      <c r="Z25" s="2">
        <f>IFERROR(INDEX(Z51:Z500,MATCH($C$25,$B$51:$B$500,0)),"")</f>
        <v>0</v>
      </c>
    </row>
    <row r="26">
      <c r="C26" t="str">
        <v>EPS Growth 5 Tahun</v>
      </c>
      <c r="D26" s="2">
        <f>IFERROR(RRI(5,I25,D25),"")</f>
        <v>0</v>
      </c>
      <c r="H26" s="2">
        <f>IFERROR(RRI(5,M25,H25),"")</f>
        <v>0</v>
      </c>
      <c r="I26" s="2">
        <f>IFERROR(RRI(5,N25,I25),"")</f>
        <v>0</v>
      </c>
      <c r="J26" s="2">
        <f>IFERROR(RRI(5,O25,J25),"")</f>
        <v>0</v>
      </c>
      <c r="K26" s="2">
        <f>IFERROR(RRI(5,P25,K25),"")</f>
        <v>0</v>
      </c>
      <c r="L26" s="2">
        <f>IFERROR(RRI(5,Q25,L25),"")</f>
        <v>0</v>
      </c>
      <c r="M26" s="2">
        <f>IFERROR(RRI(5,R25,M25),"")</f>
        <v>0</v>
      </c>
      <c r="N26" s="2">
        <f>IFERROR(RRI(5,S25,N25),"")</f>
        <v>0</v>
      </c>
      <c r="O26" s="2">
        <f>IFERROR(RRI(5,T25,O25),"")</f>
        <v>0</v>
      </c>
      <c r="P26" s="2">
        <f>IFERROR(RRI(5,U25,P25),"")</f>
        <v>0</v>
      </c>
      <c r="Q26" s="2">
        <f>IFERROR(RRI(5,V25,Q25),"")</f>
        <v>0</v>
      </c>
      <c r="R26" s="2">
        <f>IFERROR(RRI(5,W25,R25),"")</f>
        <v>0</v>
      </c>
      <c r="S26" s="2">
        <f>IFERROR(RRI(5,X25,S25),"")</f>
        <v>0</v>
      </c>
      <c r="T26" s="2">
        <f>IFERROR(RRI(5,Y25,T25),"")</f>
        <v>0</v>
      </c>
      <c r="U26" s="2">
        <f>IFERROR(RRI(5,Z25,U25),"")</f>
        <v>0</v>
      </c>
      <c r="V26" s="2">
        <f>IFERROR(RRI(5,AA25,V25),"")</f>
        <v>0</v>
      </c>
      <c r="W26" s="2">
        <f>IFERROR(RRI(5,AB25,W25),"")</f>
        <v>0</v>
      </c>
      <c r="X26" s="2">
        <f>IFERROR(RRI(5,AC25,X25),"")</f>
        <v>0</v>
      </c>
      <c r="Y26" s="2">
        <f>IFERROR(RRI(5,AD25,Y25),"")</f>
        <v>0</v>
      </c>
      <c r="Z26" s="2">
        <f>IFERROR(RRI(5,AE25,Z25),"")</f>
        <v>0</v>
      </c>
    </row>
    <row r="27">
      <c r="C27" t="str">
        <v>SPS</v>
      </c>
      <c r="D27" s="2">
        <f>IFERROR(D4/D21,"")</f>
        <v>0</v>
      </c>
      <c r="H27" s="2">
        <f>IFERROR(H4/H21,"")</f>
        <v>0</v>
      </c>
      <c r="I27" s="2">
        <f>IFERROR(I4/I21,"")</f>
        <v>0</v>
      </c>
      <c r="J27" s="2">
        <f>IFERROR(J4/J21,"")</f>
        <v>0</v>
      </c>
      <c r="K27" s="2">
        <f>IFERROR(K4/K21,"")</f>
        <v>0</v>
      </c>
      <c r="L27" s="2">
        <f>IFERROR(L4/L21,"")</f>
        <v>0</v>
      </c>
      <c r="M27" s="2">
        <f>IFERROR(M4/M21,"")</f>
        <v>0</v>
      </c>
      <c r="N27" s="2">
        <f>IFERROR(N4/N21,"")</f>
        <v>0</v>
      </c>
      <c r="O27" s="2">
        <f>IFERROR(O4/O21,"")</f>
        <v>0</v>
      </c>
      <c r="P27" s="2">
        <f>IFERROR(P4/P21,"")</f>
        <v>0</v>
      </c>
      <c r="Q27" s="2">
        <f>IFERROR(Q4/Q21,"")</f>
        <v>0</v>
      </c>
      <c r="R27" s="2">
        <f>IFERROR(R4/R21,"")</f>
        <v>0</v>
      </c>
      <c r="S27" s="2">
        <f>IFERROR(S4/S21,"")</f>
        <v>0</v>
      </c>
      <c r="T27" s="2">
        <f>IFERROR(T4/T21,"")</f>
        <v>0</v>
      </c>
      <c r="U27" s="2">
        <f>IFERROR(U4/U21,"")</f>
        <v>0</v>
      </c>
      <c r="V27" s="2">
        <f>IFERROR(V4/V21,"")</f>
        <v>0</v>
      </c>
      <c r="W27" s="2">
        <f>IFERROR(W4/W21,"")</f>
        <v>0</v>
      </c>
      <c r="X27" s="2">
        <f>IFERROR(X4/X21,"")</f>
        <v>0</v>
      </c>
      <c r="Y27" s="2">
        <f>IFERROR(Y4/Y21,"")</f>
        <v>0</v>
      </c>
      <c r="Z27" s="2">
        <f>IFERROR(Z4/Z21,"")</f>
        <v>0</v>
      </c>
    </row>
    <row r="28">
      <c r="C28" t="str">
        <v>SPS Growth 5 Tahun</v>
      </c>
      <c r="D28" s="2">
        <f>IFERROR(RRI(5,I27,D27),"")</f>
        <v>0</v>
      </c>
      <c r="H28" s="2">
        <f>IFERROR(RRI(5,M27,H27),"")</f>
        <v>0</v>
      </c>
      <c r="I28" s="2">
        <f>IFERROR(RRI(5,N27,I27),"")</f>
        <v>0</v>
      </c>
      <c r="J28" s="2">
        <f>IFERROR(RRI(5,O27,J27),"")</f>
        <v>0</v>
      </c>
      <c r="K28" s="2">
        <f>IFERROR(RRI(5,P27,K27),"")</f>
        <v>0</v>
      </c>
      <c r="L28" s="2">
        <f>IFERROR(RRI(5,Q27,L27),"")</f>
        <v>0</v>
      </c>
      <c r="M28" s="2">
        <f>IFERROR(RRI(5,R27,M27),"")</f>
        <v>0</v>
      </c>
      <c r="N28" s="2">
        <f>IFERROR(RRI(5,S27,N27),"")</f>
        <v>0</v>
      </c>
      <c r="O28" s="2">
        <f>IFERROR(RRI(5,T27,O27),"")</f>
        <v>0</v>
      </c>
      <c r="P28" s="2">
        <f>IFERROR(RRI(5,U27,P27),"")</f>
        <v>0</v>
      </c>
      <c r="Q28" s="2">
        <f>IFERROR(RRI(5,V27,Q27),"")</f>
        <v>0</v>
      </c>
      <c r="R28" s="2">
        <f>IFERROR(RRI(5,W27,R27),"")</f>
        <v>0</v>
      </c>
      <c r="S28" s="2">
        <f>IFERROR(RRI(5,X27,S27),"")</f>
        <v>0</v>
      </c>
      <c r="T28" s="2">
        <f>IFERROR(RRI(5,Y27,T27),"")</f>
        <v>0</v>
      </c>
      <c r="U28" s="2">
        <f>IFERROR(RRI(5,Z27,U27),"")</f>
        <v>0</v>
      </c>
      <c r="V28" s="2">
        <f>IFERROR(RRI(5,AA27,V27),"")</f>
        <v>0</v>
      </c>
      <c r="W28" s="2">
        <f>IFERROR(RRI(5,AB27,W27),"")</f>
        <v>0</v>
      </c>
      <c r="X28" s="2">
        <f>IFERROR(RRI(5,AC27,X27),"")</f>
        <v>0</v>
      </c>
      <c r="Y28" s="2">
        <f>IFERROR(RRI(5,AD27,Y27),"")</f>
        <v>0</v>
      </c>
      <c r="Z28" s="2">
        <f>IFERROR(RRI(5,AE27,Z27),"")</f>
        <v>0</v>
      </c>
    </row>
    <row r="32">
      <c r="A32" t="str">
        <v>Book Value Per Share (quarter)</v>
      </c>
      <c r="B32" t="str">
        <v>Book Value</v>
      </c>
      <c r="C32" t="str">
        <v>Book Value Per Share (Annual)</v>
      </c>
      <c r="D32" s="2">
        <f>IFERROR(INDEX(C51:C500,MATCH($A$32,$B$51:$B$500,0)),"")</f>
        <v>0</v>
      </c>
      <c r="H32" s="2">
        <f>IFERROR(INDEX(H51:H500,MATCH($C$32,$B$51:$B$500,0)),"")</f>
        <v>0</v>
      </c>
      <c r="I32" s="2">
        <f>IFERROR(INDEX(I51:I500,MATCH($C$32,$B$51:$B$500,0)),"")</f>
        <v>0</v>
      </c>
      <c r="J32" s="2">
        <f>IFERROR(INDEX(J51:J500,MATCH($C$32,$B$51:$B$500,0)),"")</f>
        <v>0</v>
      </c>
      <c r="K32" s="2">
        <f>IFERROR(INDEX(K51:K500,MATCH($C$32,$B$51:$B$500,0)),"")</f>
        <v>0</v>
      </c>
      <c r="L32" s="2">
        <f>IFERROR(INDEX(L51:L500,MATCH($C$32,$B$51:$B$500,0)),"")</f>
        <v>0</v>
      </c>
      <c r="M32" s="2">
        <f>IFERROR(INDEX(M51:M500,MATCH($C$32,$B$51:$B$500,0)),"")</f>
        <v>0</v>
      </c>
      <c r="N32" s="2">
        <f>IFERROR(INDEX(N51:N500,MATCH($C$32,$B$51:$B$500,0)),"")</f>
        <v>0</v>
      </c>
      <c r="O32" s="2">
        <f>IFERROR(INDEX(O51:O500,MATCH($C$32,$B$51:$B$500,0)),"")</f>
        <v>0</v>
      </c>
      <c r="P32" s="2">
        <f>IFERROR(INDEX(P51:P500,MATCH($C$32,$B$51:$B$500,0)),"")</f>
        <v>0</v>
      </c>
      <c r="Q32" s="2">
        <f>IFERROR(INDEX(Q51:Q500,MATCH($C$32,$B$51:$B$500,0)),"")</f>
        <v>0</v>
      </c>
      <c r="R32" s="2">
        <f>IFERROR(INDEX(R51:R500,MATCH($C$32,$B$51:$B$500,0)),"")</f>
        <v>0</v>
      </c>
      <c r="S32" s="2">
        <f>IFERROR(INDEX(S51:S500,MATCH($C$32,$B$51:$B$500,0)),"")</f>
        <v>0</v>
      </c>
      <c r="T32" s="2">
        <f>IFERROR(INDEX(T51:T500,MATCH($C$32,$B$51:$B$500,0)),"")</f>
        <v>0</v>
      </c>
      <c r="U32" s="2">
        <f>IFERROR(INDEX(U51:U500,MATCH($C$32,$B$51:$B$500,0)),"")</f>
        <v>0</v>
      </c>
      <c r="V32" s="2">
        <f>IFERROR(INDEX(V51:V500,MATCH($C$32,$B$51:$B$500,0)),"")</f>
        <v>0</v>
      </c>
      <c r="W32" s="2">
        <f>IFERROR(INDEX(W51:W500,MATCH($C$32,$B$51:$B$500,0)),"")</f>
        <v>0</v>
      </c>
      <c r="X32" s="2">
        <f>IFERROR(INDEX(X51:X500,MATCH($C$32,$B$51:$B$500,0)),"")</f>
        <v>0</v>
      </c>
      <c r="Y32" s="2">
        <f>IFERROR(INDEX(Y51:Y500,MATCH($C$32,$B$51:$B$500,0)),"")</f>
        <v>0</v>
      </c>
      <c r="Z32" s="2">
        <f>IFERROR(INDEX(Z51:Z500,MATCH($C$32,$B$51:$B$500,0)),"")</f>
        <v>0</v>
      </c>
    </row>
    <row r="33">
      <c r="A33" t="str">
        <v>Price to Book Value (quarter)</v>
      </c>
      <c r="B33" t="str">
        <v>PBV</v>
      </c>
      <c r="C33" t="str">
        <v>Price to Book Value (Annual)</v>
      </c>
      <c r="D33" s="2">
        <f>IFERROR(INDEX(C51:C500,MATCH($A$33,$B$51:$B$500,0)),"")</f>
        <v>0</v>
      </c>
      <c r="H33" s="2">
        <f>IFERROR(INDEX(H51:H500,MATCH($C$33,$B$51:$B$500,0)),"")</f>
        <v>0</v>
      </c>
      <c r="I33" s="2">
        <f>IFERROR(INDEX(I51:I500,MATCH($C$33,$B$51:$B$500,0)),"")</f>
        <v>0</v>
      </c>
      <c r="J33" s="2">
        <f>IFERROR(INDEX(J51:J500,MATCH($C$33,$B$51:$B$500,0)),"")</f>
        <v>0</v>
      </c>
      <c r="K33" s="2">
        <f>IFERROR(INDEX(K51:K500,MATCH($C$33,$B$51:$B$500,0)),"")</f>
        <v>0</v>
      </c>
      <c r="L33" s="2">
        <f>IFERROR(INDEX(L51:L500,MATCH($C$33,$B$51:$B$500,0)),"")</f>
        <v>0</v>
      </c>
      <c r="M33" s="2">
        <f>IFERROR(INDEX(M51:M500,MATCH($C$33,$B$51:$B$500,0)),"")</f>
        <v>0</v>
      </c>
      <c r="N33" s="2">
        <f>IFERROR(INDEX(N51:N500,MATCH($C$33,$B$51:$B$500,0)),"")</f>
        <v>0</v>
      </c>
      <c r="O33" s="2">
        <f>IFERROR(INDEX(O51:O500,MATCH($C$33,$B$51:$B$500,0)),"")</f>
        <v>0</v>
      </c>
      <c r="P33" s="2">
        <f>IFERROR(INDEX(P51:P500,MATCH($C$33,$B$51:$B$500,0)),"")</f>
        <v>0</v>
      </c>
      <c r="Q33" s="2">
        <f>IFERROR(INDEX(Q51:Q500,MATCH($C$33,$B$51:$B$500,0)),"")</f>
        <v>0</v>
      </c>
      <c r="R33" s="2">
        <f>IFERROR(INDEX(R51:R500,MATCH($C$33,$B$51:$B$500,0)),"")</f>
        <v>0</v>
      </c>
      <c r="S33" s="2">
        <f>IFERROR(INDEX(S51:S500,MATCH($C$33,$B$51:$B$500,0)),"")</f>
        <v>0</v>
      </c>
      <c r="T33" s="2">
        <f>IFERROR(INDEX(T51:T500,MATCH($C$33,$B$51:$B$500,0)),"")</f>
        <v>0</v>
      </c>
      <c r="U33" s="2">
        <f>IFERROR(INDEX(U51:U500,MATCH($C$33,$B$51:$B$500,0)),"")</f>
        <v>0</v>
      </c>
      <c r="V33" s="2">
        <f>IFERROR(INDEX(V51:V500,MATCH($C$33,$B$51:$B$500,0)),"")</f>
        <v>0</v>
      </c>
      <c r="W33" s="2">
        <f>IFERROR(INDEX(W51:W500,MATCH($C$33,$B$51:$B$500,0)),"")</f>
        <v>0</v>
      </c>
      <c r="X33" s="2">
        <f>IFERROR(INDEX(X51:X500,MATCH($C$33,$B$51:$B$500,0)),"")</f>
        <v>0</v>
      </c>
      <c r="Y33" s="2">
        <f>IFERROR(INDEX(Y51:Y500,MATCH($C$33,$B$51:$B$500,0)),"")</f>
        <v>0</v>
      </c>
      <c r="Z33" s="2">
        <f>IFERROR(INDEX(Z51:Z500,MATCH($C$33,$B$51:$B$500,0)),"")</f>
        <v>0</v>
      </c>
    </row>
    <row r="34">
      <c r="A34" t="str">
        <v>PE Ratio (quarter)</v>
      </c>
      <c r="B34" t="str">
        <v>PER</v>
      </c>
      <c r="C34" t="str">
        <v>PE Ratio (Annual)</v>
      </c>
      <c r="D34" s="2">
        <f>IFERROR(INDEX(C51:C500,MATCH($A$34,$B$51:$B$500,0)),"")</f>
        <v>0</v>
      </c>
      <c r="H34" s="2">
        <f>IFERROR(INDEX(H51:H500,MATCH($C$34,$B$51:$B$500,0)),"")</f>
        <v>0</v>
      </c>
      <c r="I34" s="2">
        <f>IFERROR(INDEX(I51:I500,MATCH($C$34,$B$51:$B$500,0)),"")</f>
        <v>0</v>
      </c>
      <c r="J34" s="2">
        <f>IFERROR(INDEX(J51:J500,MATCH($C$34,$B$51:$B$500,0)),"")</f>
        <v>0</v>
      </c>
      <c r="K34" s="2">
        <f>IFERROR(INDEX(K51:K500,MATCH($C$34,$B$51:$B$500,0)),"")</f>
        <v>0</v>
      </c>
      <c r="L34" s="2">
        <f>IFERROR(INDEX(L51:L500,MATCH($C$34,$B$51:$B$500,0)),"")</f>
        <v>0</v>
      </c>
      <c r="M34" s="2">
        <f>IFERROR(INDEX(M51:M500,MATCH($C$34,$B$51:$B$500,0)),"")</f>
        <v>0</v>
      </c>
      <c r="N34" s="2">
        <f>IFERROR(INDEX(N51:N500,MATCH($C$34,$B$51:$B$500,0)),"")</f>
        <v>0</v>
      </c>
      <c r="O34" s="2">
        <f>IFERROR(INDEX(O51:O500,MATCH($C$34,$B$51:$B$500,0)),"")</f>
        <v>0</v>
      </c>
      <c r="P34" s="2">
        <f>IFERROR(INDEX(P51:P500,MATCH($C$34,$B$51:$B$500,0)),"")</f>
        <v>0</v>
      </c>
      <c r="Q34" s="2">
        <f>IFERROR(INDEX(Q51:Q500,MATCH($C$34,$B$51:$B$500,0)),"")</f>
        <v>0</v>
      </c>
      <c r="R34" s="2">
        <f>IFERROR(INDEX(R51:R500,MATCH($C$34,$B$51:$B$500,0)),"")</f>
        <v>0</v>
      </c>
      <c r="S34" s="2">
        <f>IFERROR(INDEX(S51:S500,MATCH($C$34,$B$51:$B$500,0)),"")</f>
        <v>0</v>
      </c>
      <c r="T34" s="2">
        <f>IFERROR(INDEX(T51:T500,MATCH($C$34,$B$51:$B$500,0)),"")</f>
        <v>0</v>
      </c>
      <c r="U34" s="2">
        <f>IFERROR(INDEX(U51:U500,MATCH($C$34,$B$51:$B$500,0)),"")</f>
        <v>0</v>
      </c>
      <c r="V34" s="2">
        <f>IFERROR(INDEX(V51:V500,MATCH($C$34,$B$51:$B$500,0)),"")</f>
        <v>0</v>
      </c>
      <c r="W34" s="2">
        <f>IFERROR(INDEX(W51:W500,MATCH($C$34,$B$51:$B$500,0)),"")</f>
        <v>0</v>
      </c>
      <c r="X34" s="2">
        <f>IFERROR(INDEX(X51:X500,MATCH($C$34,$B$51:$B$500,0)),"")</f>
        <v>0</v>
      </c>
      <c r="Y34" s="2">
        <f>IFERROR(INDEX(Y51:Y500,MATCH($C$34,$B$51:$B$500,0)),"")</f>
        <v>0</v>
      </c>
      <c r="Z34" s="2">
        <f>IFERROR(INDEX(Z51:Z500,MATCH($C$34,$B$51:$B$500,0)),"")</f>
        <v>0</v>
      </c>
    </row>
    <row r="35">
      <c r="A35" t="str">
        <v>Price to Sales (Quarter)</v>
      </c>
      <c r="B35" t="str">
        <v>PSR</v>
      </c>
      <c r="C35" t="str">
        <v>Price to Sales (Annual)</v>
      </c>
      <c r="D35" s="2">
        <f>IFERROR(INDEX(C51:C500,MATCH($A$35,$B$51:$B$500,0)),"")</f>
        <v>0</v>
      </c>
      <c r="H35" s="2">
        <f>IFERROR(INDEX(H51:H500,MATCH($C$35,$B$51:$B$500,0)),"")</f>
        <v>0</v>
      </c>
      <c r="I35" s="2">
        <f>IFERROR(INDEX(I51:I500,MATCH($C$35,$B$51:$B$500,0)),"")</f>
        <v>0</v>
      </c>
      <c r="J35" s="2">
        <f>IFERROR(INDEX(J51:J500,MATCH($C$35,$B$51:$B$500,0)),"")</f>
        <v>0</v>
      </c>
      <c r="K35" s="2">
        <f>IFERROR(INDEX(K51:K500,MATCH($C$35,$B$51:$B$500,0)),"")</f>
        <v>0</v>
      </c>
      <c r="L35" s="2">
        <f>IFERROR(INDEX(L51:L500,MATCH($C$35,$B$51:$B$500,0)),"")</f>
        <v>0</v>
      </c>
      <c r="M35" s="2">
        <f>IFERROR(INDEX(M51:M500,MATCH($C$35,$B$51:$B$500,0)),"")</f>
        <v>0</v>
      </c>
      <c r="N35" s="2">
        <f>IFERROR(INDEX(N51:N500,MATCH($C$35,$B$51:$B$500,0)),"")</f>
        <v>0</v>
      </c>
      <c r="O35" s="2">
        <f>IFERROR(INDEX(O51:O500,MATCH($C$35,$B$51:$B$500,0)),"")</f>
        <v>0</v>
      </c>
      <c r="P35" s="2">
        <f>IFERROR(INDEX(P51:P500,MATCH($C$35,$B$51:$B$500,0)),"")</f>
        <v>0</v>
      </c>
      <c r="Q35" s="2">
        <f>IFERROR(INDEX(Q51:Q500,MATCH($C$35,$B$51:$B$500,0)),"")</f>
        <v>0</v>
      </c>
      <c r="R35" s="2">
        <f>IFERROR(INDEX(R51:R500,MATCH($C$35,$B$51:$B$500,0)),"")</f>
        <v>0</v>
      </c>
      <c r="S35" s="2">
        <f>IFERROR(INDEX(S51:S500,MATCH($C$35,$B$51:$B$500,0)),"")</f>
        <v>0</v>
      </c>
      <c r="T35" s="2">
        <f>IFERROR(INDEX(T51:T500,MATCH($C$35,$B$51:$B$500,0)),"")</f>
        <v>0</v>
      </c>
      <c r="U35" s="2">
        <f>IFERROR(INDEX(U51:U500,MATCH($C$35,$B$51:$B$500,0)),"")</f>
        <v>0</v>
      </c>
      <c r="V35" s="2">
        <f>IFERROR(INDEX(V51:V500,MATCH($C$35,$B$51:$B$500,0)),"")</f>
        <v>0</v>
      </c>
      <c r="W35" s="2">
        <f>IFERROR(INDEX(W51:W500,MATCH($C$35,$B$51:$B$500,0)),"")</f>
        <v>0</v>
      </c>
      <c r="X35" s="2">
        <f>IFERROR(INDEX(X51:X500,MATCH($C$35,$B$51:$B$500,0)),"")</f>
        <v>0</v>
      </c>
      <c r="Y35" s="2">
        <f>IFERROR(INDEX(Y51:Y500,MATCH($C$35,$B$51:$B$500,0)),"")</f>
        <v>0</v>
      </c>
      <c r="Z35" s="2">
        <f>IFERROR(INDEX(Z51:Z500,MATCH($C$35,$B$51:$B$500,0)),"")</f>
        <v>0</v>
      </c>
    </row>
    <row r="36">
      <c r="B36" t="str">
        <v>DPR</v>
      </c>
      <c r="C36" t="str">
        <v>Net Income - Payout Ratio</v>
      </c>
      <c r="D36" s="2">
        <f>IFERROR(INDEX(D51:D500,MATCH($C$36,$B$51:$B$500,0)),"")</f>
        <v>0</v>
      </c>
      <c r="H36" s="2">
        <f>IFERROR(INDEX(H51:H500,MATCH($C$36,$B$51:$B$500,0)),"")</f>
        <v>0</v>
      </c>
      <c r="I36" s="2">
        <f>IFERROR(INDEX(I51:I500,MATCH($C$36,$B$51:$B$500,0)),"")</f>
        <v>0</v>
      </c>
      <c r="J36" s="2">
        <f>IFERROR(INDEX(J51:J500,MATCH($C$36,$B$51:$B$500,0)),"")</f>
        <v>0</v>
      </c>
      <c r="K36" s="2">
        <f>IFERROR(INDEX(K51:K500,MATCH($C$36,$B$51:$B$500,0)),"")</f>
        <v>0</v>
      </c>
      <c r="L36" s="2">
        <f>IFERROR(INDEX(L51:L500,MATCH($C$36,$B$51:$B$500,0)),"")</f>
        <v>0</v>
      </c>
      <c r="M36" s="2">
        <f>IFERROR(INDEX(M51:M500,MATCH($C$36,$B$51:$B$500,0)),"")</f>
        <v>0</v>
      </c>
      <c r="N36" s="2">
        <f>IFERROR(INDEX(N51:N500,MATCH($C$36,$B$51:$B$500,0)),"")</f>
        <v>0</v>
      </c>
      <c r="O36" s="2">
        <f>IFERROR(INDEX(O51:O500,MATCH($C$36,$B$51:$B$500,0)),"")</f>
        <v>0</v>
      </c>
      <c r="P36" s="2">
        <f>IFERROR(INDEX(P51:P500,MATCH($C$36,$B$51:$B$500,0)),"")</f>
        <v>0</v>
      </c>
      <c r="Q36" s="2">
        <f>IFERROR(INDEX(Q51:Q500,MATCH($C$36,$B$51:$B$500,0)),"")</f>
        <v>0</v>
      </c>
      <c r="R36" s="2">
        <f>IFERROR(INDEX(R51:R500,MATCH($C$36,$B$51:$B$500,0)),"")</f>
        <v>0</v>
      </c>
      <c r="S36" s="2">
        <f>IFERROR(INDEX(S51:S500,MATCH($C$36,$B$51:$B$500,0)),"")</f>
        <v>0</v>
      </c>
      <c r="T36" s="2">
        <f>IFERROR(INDEX(T51:T500,MATCH($C$36,$B$51:$B$500,0)),"")</f>
        <v>0</v>
      </c>
      <c r="U36" s="2">
        <f>IFERROR(INDEX(U51:U500,MATCH($C$36,$B$51:$B$500,0)),"")</f>
        <v>0</v>
      </c>
      <c r="V36" s="2">
        <f>IFERROR(INDEX(V51:V500,MATCH($C$36,$B$51:$B$500,0)),"")</f>
        <v>0</v>
      </c>
      <c r="W36" s="2">
        <f>IFERROR(INDEX(W51:W500,MATCH($C$36,$B$51:$B$500,0)),"")</f>
        <v>0</v>
      </c>
      <c r="X36" s="2">
        <f>IFERROR(INDEX(X51:X500,MATCH($C$36,$B$51:$B$500,0)),"")</f>
        <v>0</v>
      </c>
      <c r="Y36" s="2">
        <f>IFERROR(INDEX(Y51:Y500,MATCH($C$36,$B$51:$B$500,0)),"")</f>
        <v>0</v>
      </c>
      <c r="Z36" s="2">
        <f>IFERROR(INDEX(Z51:Z500,MATCH($C$36,$B$51:$B$500,0)),"")</f>
        <v>0</v>
      </c>
    </row>
    <row r="37">
      <c r="B37" t="str">
        <v>DPS</v>
      </c>
      <c r="C37" t="str">
        <v>EPS - Div (TTM)</v>
      </c>
      <c r="D37" s="2">
        <f>IFERROR(INDEX(D51:D500,MATCH($C$37,$B$51:$B$500,0)),"")</f>
        <v>0</v>
      </c>
      <c r="H37" s="2">
        <f>IFERROR(INDEX(H51:H500,MATCH($C$37,$B$51:$B$500,0)),"")</f>
        <v>0</v>
      </c>
      <c r="I37" s="2">
        <f>IFERROR(INDEX(I51:I500,MATCH($C$37,$B$51:$B$500,0)),"")</f>
        <v>0</v>
      </c>
      <c r="J37" s="2">
        <f>IFERROR(INDEX(J51:J500,MATCH($C$37,$B$51:$B$500,0)),"")</f>
        <v>0</v>
      </c>
      <c r="K37" s="2">
        <f>IFERROR(INDEX(K51:K500,MATCH($C$37,$B$51:$B$500,0)),"")</f>
        <v>0</v>
      </c>
      <c r="L37" s="2">
        <f>IFERROR(INDEX(L51:L500,MATCH($C$37,$B$51:$B$500,0)),"")</f>
        <v>0</v>
      </c>
      <c r="M37" s="2">
        <f>IFERROR(INDEX(M51:M500,MATCH($C$37,$B$51:$B$500,0)),"")</f>
        <v>0</v>
      </c>
      <c r="N37" s="2">
        <f>IFERROR(INDEX(N51:N500,MATCH($C$37,$B$51:$B$500,0)),"")</f>
        <v>0</v>
      </c>
      <c r="O37" s="2">
        <f>IFERROR(INDEX(O51:O500,MATCH($C$37,$B$51:$B$500,0)),"")</f>
        <v>0</v>
      </c>
      <c r="P37" s="2">
        <f>IFERROR(INDEX(P51:P500,MATCH($C$37,$B$51:$B$500,0)),"")</f>
        <v>0</v>
      </c>
      <c r="Q37" s="2">
        <f>IFERROR(INDEX(Q51:Q500,MATCH($C$37,$B$51:$B$500,0)),"")</f>
        <v>0</v>
      </c>
      <c r="R37" s="2">
        <f>IFERROR(INDEX(R51:R500,MATCH($C$37,$B$51:$B$500,0)),"")</f>
        <v>0</v>
      </c>
      <c r="S37" s="2">
        <f>IFERROR(INDEX(S51:S500,MATCH($C$37,$B$51:$B$500,0)),"")</f>
        <v>0</v>
      </c>
      <c r="T37" s="2">
        <f>IFERROR(INDEX(T51:T500,MATCH($C$37,$B$51:$B$500,0)),"")</f>
        <v>0</v>
      </c>
      <c r="U37" s="2">
        <f>IFERROR(INDEX(U51:U500,MATCH($C$37,$B$51:$B$500,0)),"")</f>
        <v>0</v>
      </c>
      <c r="V37" s="2">
        <f>IFERROR(INDEX(V51:V500,MATCH($C$37,$B$51:$B$500,0)),"")</f>
        <v>0</v>
      </c>
      <c r="W37" s="2">
        <f>IFERROR(INDEX(W51:W500,MATCH($C$37,$B$51:$B$500,0)),"")</f>
        <v>0</v>
      </c>
      <c r="X37" s="2">
        <f>IFERROR(INDEX(X51:X500,MATCH($C$37,$B$51:$B$500,0)),"")</f>
        <v>0</v>
      </c>
      <c r="Y37" s="2">
        <f>IFERROR(INDEX(Y51:Y500,MATCH($C$37,$B$51:$B$500,0)),"")</f>
        <v>0</v>
      </c>
      <c r="Z37" s="2">
        <f>IFERROR(INDEX(Z51:Z500,MATCH($C$37,$B$51:$B$500,0)),"")</f>
        <v>0</v>
      </c>
    </row>
    <row r="51">
      <c r="C51" t="str">
        <v>Q1 2026</v>
      </c>
      <c r="D51" t="str">
        <v>Q4 2025</v>
      </c>
      <c r="E51" t="str">
        <v>Q3 2025</v>
      </c>
      <c r="F51" t="str">
        <v>Q2 2025</v>
      </c>
      <c r="G51" t="str">
        <v>2026</v>
      </c>
      <c r="H51" t="str">
        <v>12M 2025</v>
      </c>
      <c r="I51" t="str">
        <v>12M 2024</v>
      </c>
      <c r="J51" t="str">
        <v>12M 2023</v>
      </c>
      <c r="K51" t="str">
        <v>12M 2022</v>
      </c>
      <c r="L51" t="str">
        <v>12M 2021</v>
      </c>
      <c r="M51" t="str">
        <v>12M 2020</v>
      </c>
      <c r="N51" t="str">
        <v>12M 2019</v>
      </c>
      <c r="O51" t="str">
        <v>12M 2018</v>
      </c>
      <c r="P51" t="str">
        <v>12M 2017</v>
      </c>
      <c r="Q51" t="str">
        <v>12M 2016</v>
      </c>
      <c r="R51" t="str">
        <v>12M 2015</v>
      </c>
      <c r="S51" t="str">
        <v>12M 2014</v>
      </c>
      <c r="T51" t="str">
        <v>12M 2013</v>
      </c>
      <c r="U51" t="str">
        <v>12M 2012</v>
      </c>
      <c r="V51" t="str">
        <v>12M 2011</v>
      </c>
      <c r="W51" t="str">
        <v>12M 2010</v>
      </c>
      <c r="X51" t="str">
        <v>12M 2009</v>
      </c>
      <c r="Y51" t="str">
        <v>12M 2008</v>
      </c>
    </row>
    <row r="52">
      <c r="A52" t="str">
        <v>Income Statement</v>
      </c>
      <c r="B52" t="str">
        <v>Total Pendapatan</v>
      </c>
      <c r="C52" s="2">
        <v>52838024000000</v>
      </c>
      <c r="D52" s="2">
        <v>52588881000000</v>
      </c>
      <c r="E52" s="2">
        <v>52795965000000</v>
      </c>
      <c r="F52" s="2">
        <v>52527758000000</v>
      </c>
      <c r="H52" s="2">
        <v>207783368000000</v>
      </c>
      <c r="I52" s="2">
        <v>199266252000000</v>
      </c>
      <c r="J52" s="2">
        <v>188074847000000</v>
      </c>
      <c r="K52" s="2">
        <v>160811811000000</v>
      </c>
      <c r="L52" s="2">
        <v>150513112000000</v>
      </c>
      <c r="M52" s="2">
        <v>141970336000000</v>
      </c>
      <c r="N52" s="2">
        <v>127130033000000</v>
      </c>
      <c r="O52" s="2">
        <v>115761017000000</v>
      </c>
      <c r="P52" s="2">
        <v>106688257000000</v>
      </c>
      <c r="Q52" s="2">
        <v>97262568000000</v>
      </c>
      <c r="R52" s="2">
        <v>85434037000000</v>
      </c>
      <c r="S52" s="2">
        <v>75122213000000</v>
      </c>
      <c r="T52" s="2">
        <v>59461084000000</v>
      </c>
      <c r="U52" s="2">
        <v>49610421000000</v>
      </c>
      <c r="V52" s="2">
        <v>48164348000000</v>
      </c>
      <c r="W52" s="2">
        <v>44615162000000</v>
      </c>
      <c r="X52" s="2">
        <v>35334131000000</v>
      </c>
      <c r="Y52" s="2">
        <v>28096633000000</v>
      </c>
    </row>
    <row r="53">
      <c r="B53" t="str">
        <v>Pendapatan Bunga</v>
      </c>
      <c r="C53" s="2">
        <v>49133641000000</v>
      </c>
      <c r="D53" s="2">
        <v>48581688000000</v>
      </c>
      <c r="E53" s="2">
        <v>48830043000000</v>
      </c>
      <c r="F53" s="2">
        <v>49069430000000</v>
      </c>
      <c r="H53" s="2">
        <v>192859238000000</v>
      </c>
      <c r="I53" s="2">
        <v>185272091000000</v>
      </c>
      <c r="J53" s="2">
        <v>166052387000000</v>
      </c>
      <c r="K53" s="2">
        <v>141756773000000</v>
      </c>
      <c r="L53" s="2">
        <v>137265402000000</v>
      </c>
      <c r="M53" s="2">
        <v>128910617000000</v>
      </c>
      <c r="N53" s="2">
        <v>118379729000000</v>
      </c>
      <c r="O53" s="2">
        <v>108458358000000</v>
      </c>
      <c r="P53" s="2">
        <v>100080250000000</v>
      </c>
      <c r="Q53" s="2">
        <v>92151312000000</v>
      </c>
      <c r="R53" s="2">
        <v>83007745000000</v>
      </c>
      <c r="S53" s="2">
        <v>73065777000000</v>
      </c>
      <c r="T53" s="2">
        <v>57720831000000</v>
      </c>
      <c r="U53" s="2">
        <v>48272021000000</v>
      </c>
      <c r="V53" s="2">
        <v>47296178000000</v>
      </c>
      <c r="W53" s="2">
        <v>43971493000000</v>
      </c>
      <c r="X53" s="2">
        <v>33946341000000</v>
      </c>
      <c r="Y53" s="2">
        <v>27009627000000</v>
      </c>
    </row>
    <row r="54">
      <c r="B54" t="str">
        <v>Provisi Dan Komisi Kredit</v>
      </c>
      <c r="W54" s="2">
        <v>643669000000</v>
      </c>
      <c r="X54" s="2">
        <v>1126315000000</v>
      </c>
      <c r="Y54" s="2">
        <v>898025000000</v>
      </c>
    </row>
    <row r="55">
      <c r="B55" t="str">
        <v>Pendapatan Premi</v>
      </c>
      <c r="D55" s="2">
        <v>-34081000000</v>
      </c>
      <c r="E55" s="2">
        <v>11837000000</v>
      </c>
      <c r="F55" s="2">
        <v>22244000000</v>
      </c>
      <c r="J55" s="2">
        <v>9078853000000</v>
      </c>
      <c r="K55" s="2">
        <v>8936995000000</v>
      </c>
      <c r="L55" s="2">
        <v>6989783000000</v>
      </c>
      <c r="M55" s="2">
        <v>6205775000000</v>
      </c>
      <c r="N55" s="2">
        <v>5373757000000</v>
      </c>
      <c r="O55" s="2">
        <v>4178213000000</v>
      </c>
      <c r="P55" s="2">
        <v>3788965000000</v>
      </c>
      <c r="Q55" s="2">
        <v>2474579000000</v>
      </c>
    </row>
    <row r="56">
      <c r="B56" t="str">
        <v>Pendapatan Syariah</v>
      </c>
      <c r="C56" s="2">
        <v>3704383000000</v>
      </c>
      <c r="D56" s="2">
        <v>4041274000000</v>
      </c>
      <c r="E56" s="2">
        <v>3954085000000</v>
      </c>
      <c r="F56" s="2">
        <v>3436084000000</v>
      </c>
      <c r="H56" s="2">
        <v>14924130000000</v>
      </c>
      <c r="I56" s="2">
        <v>13994161000000</v>
      </c>
      <c r="J56" s="2">
        <v>12943607000000</v>
      </c>
      <c r="K56" s="2">
        <v>10118043000000</v>
      </c>
      <c r="L56" s="2">
        <v>6257927000000</v>
      </c>
      <c r="M56" s="2">
        <v>6853944000000</v>
      </c>
      <c r="N56" s="2">
        <v>3376547000000</v>
      </c>
      <c r="O56" s="2">
        <v>3124446000000</v>
      </c>
      <c r="P56" s="2">
        <v>2819042000000</v>
      </c>
      <c r="Q56" s="2">
        <v>2636677000000</v>
      </c>
      <c r="R56" s="2">
        <v>2426292000000</v>
      </c>
      <c r="S56" s="2">
        <v>2056436000000</v>
      </c>
      <c r="T56" s="2">
        <v>1740253000000</v>
      </c>
      <c r="U56" s="2">
        <v>1338400000000</v>
      </c>
      <c r="V56" s="2">
        <v>868170000000</v>
      </c>
      <c r="X56" s="2">
        <v>261475000000</v>
      </c>
      <c r="Y56" s="2">
        <v>188981000000</v>
      </c>
    </row>
    <row r="57">
      <c r="B57" t="str">
        <v>Total Beban Pokok Penjualan</v>
      </c>
      <c r="C57" s="2">
        <v>-12682992000000</v>
      </c>
      <c r="D57" s="2">
        <v>-13115570000000</v>
      </c>
      <c r="E57" s="2">
        <v>-15067636000000</v>
      </c>
      <c r="F57" s="2">
        <v>-15115367000000</v>
      </c>
      <c r="H57" s="2">
        <v>-57284939000000</v>
      </c>
      <c r="I57" s="2">
        <v>-56607595000000</v>
      </c>
      <c r="J57" s="2">
        <v>-50729968000000</v>
      </c>
      <c r="K57" s="2">
        <v>-34637415000000</v>
      </c>
      <c r="L57" s="2">
        <v>-35375608000000</v>
      </c>
      <c r="M57" s="2">
        <v>-47507513000000</v>
      </c>
      <c r="N57" s="2">
        <v>-44412000000000</v>
      </c>
      <c r="O57" s="2">
        <v>-37149523000000</v>
      </c>
      <c r="P57" s="2">
        <v>-33297356000000</v>
      </c>
      <c r="Q57" s="2">
        <v>-29622167000000</v>
      </c>
      <c r="R57" s="2">
        <v>-27154270000000</v>
      </c>
      <c r="S57" s="2">
        <v>-23679803000000</v>
      </c>
      <c r="T57" s="2">
        <v>-15354813000000</v>
      </c>
      <c r="U57" s="2">
        <v>-13126655000000</v>
      </c>
      <c r="V57" s="2">
        <v>-13737272000000</v>
      </c>
      <c r="W57" s="2">
        <v>-11726559000000</v>
      </c>
      <c r="X57" s="2">
        <v>-12284636000000</v>
      </c>
      <c r="Y57" s="2">
        <v>-8445579000000</v>
      </c>
    </row>
    <row r="58">
      <c r="B58" t="str">
        <v>Beban Bunga</v>
      </c>
      <c r="C58" s="2">
        <v>-12265296000000</v>
      </c>
      <c r="D58" s="2">
        <v>-12844719000000</v>
      </c>
      <c r="E58" s="2">
        <v>-14700960000000</v>
      </c>
      <c r="F58" s="2">
        <v>-14783174000000</v>
      </c>
      <c r="H58" s="2">
        <v>-56012924000000</v>
      </c>
      <c r="I58" s="2">
        <v>-55601330000000</v>
      </c>
      <c r="J58" s="2">
        <v>-42658864000000</v>
      </c>
      <c r="K58" s="2">
        <v>-26269701000000</v>
      </c>
      <c r="L58" s="2">
        <v>-28135797000000</v>
      </c>
      <c r="M58" s="2">
        <v>-39883405000000</v>
      </c>
      <c r="N58" s="2">
        <v>-38671838000000</v>
      </c>
      <c r="O58" s="2">
        <v>-32541395000000</v>
      </c>
      <c r="P58" s="2">
        <v>-28652214000000</v>
      </c>
      <c r="Q58" s="2">
        <v>-26176473000000</v>
      </c>
      <c r="R58" s="2">
        <v>-26141100000000</v>
      </c>
      <c r="S58" s="2">
        <v>-22684979000000</v>
      </c>
      <c r="T58" s="2">
        <v>-14590223000000</v>
      </c>
      <c r="U58" s="2">
        <v>-12599060000000</v>
      </c>
      <c r="V58" s="2">
        <v>-13275304000000</v>
      </c>
      <c r="W58" s="2">
        <v>-11448953000000</v>
      </c>
      <c r="X58" s="2">
        <v>-12179932000000</v>
      </c>
      <c r="Y58" s="2">
        <v>-8407912000000</v>
      </c>
    </row>
    <row r="59">
      <c r="B59" t="str">
        <v>Beban Klaim</v>
      </c>
      <c r="D59" s="2">
        <v>44000000</v>
      </c>
      <c r="E59" s="2">
        <v>-17000000</v>
      </c>
      <c r="F59" s="2">
        <v>-27000000</v>
      </c>
      <c r="J59" s="2">
        <v>-6917461000000</v>
      </c>
      <c r="K59" s="2">
        <v>-7359672000000</v>
      </c>
      <c r="L59" s="2">
        <v>-5946708000000</v>
      </c>
      <c r="M59" s="2">
        <v>-5327065000000</v>
      </c>
      <c r="N59" s="2">
        <v>-4363029000000</v>
      </c>
      <c r="O59" s="2">
        <v>-3232491000000</v>
      </c>
      <c r="P59" s="2">
        <v>-3403551000000</v>
      </c>
      <c r="Q59" s="2">
        <v>-2410192000000</v>
      </c>
    </row>
    <row r="60">
      <c r="B60" t="str">
        <v>Beban Syariah</v>
      </c>
      <c r="C60" s="2">
        <v>-417696000000</v>
      </c>
      <c r="D60" s="2">
        <v>-270895000000</v>
      </c>
      <c r="E60" s="2">
        <v>-366659000000</v>
      </c>
      <c r="F60" s="2">
        <v>-332166000000</v>
      </c>
      <c r="H60" s="2">
        <v>-1272015000000</v>
      </c>
      <c r="I60" s="2">
        <v>-1006265000000</v>
      </c>
      <c r="J60" s="2">
        <v>-1153643000000</v>
      </c>
      <c r="K60" s="2">
        <v>-1008042000000</v>
      </c>
      <c r="L60" s="2">
        <v>-1293103000000</v>
      </c>
      <c r="M60" s="2">
        <v>-2297043000000</v>
      </c>
      <c r="N60" s="2">
        <v>-1377133000000</v>
      </c>
      <c r="O60" s="2">
        <v>-1375637000000</v>
      </c>
      <c r="P60" s="2">
        <v>-1241591000000</v>
      </c>
      <c r="Q60" s="2">
        <v>-1035502000000</v>
      </c>
      <c r="R60" s="2">
        <v>-1013170000000</v>
      </c>
      <c r="S60" s="2">
        <v>-994824000000</v>
      </c>
      <c r="T60" s="2">
        <v>-764590000000</v>
      </c>
      <c r="U60" s="2">
        <v>-527595000000</v>
      </c>
      <c r="V60" s="2">
        <v>-461968000000</v>
      </c>
      <c r="W60" s="2">
        <v>-277606000000</v>
      </c>
      <c r="X60" s="2">
        <v>-104704000000</v>
      </c>
      <c r="Y60" s="2">
        <v>-37667000000</v>
      </c>
    </row>
    <row r="61">
      <c r="B61" t="str">
        <v>Total Beban Pokok Penjualan...</v>
      </c>
      <c r="C61" s="2">
        <v>-12682992000000</v>
      </c>
      <c r="D61" s="2">
        <v>-13115570000000</v>
      </c>
      <c r="E61" s="2">
        <v>-15067636000000</v>
      </c>
      <c r="F61" s="2">
        <v>-15115367000000</v>
      </c>
      <c r="H61" s="2">
        <v>-57284939000000</v>
      </c>
      <c r="I61" s="2">
        <v>-56607595000000</v>
      </c>
      <c r="J61" s="2">
        <v>-50729968000000</v>
      </c>
      <c r="K61" s="2">
        <v>-34637415000000</v>
      </c>
      <c r="L61" s="2">
        <v>-35375608000000</v>
      </c>
      <c r="M61" s="2">
        <v>-47507513000000</v>
      </c>
      <c r="N61" s="2">
        <v>-44412000000000</v>
      </c>
      <c r="O61" s="2">
        <v>-37149523000000</v>
      </c>
      <c r="P61" s="2">
        <v>-33297356000000</v>
      </c>
      <c r="Q61" s="2">
        <v>-29622167000000</v>
      </c>
      <c r="R61" s="2">
        <v>-27154270000000</v>
      </c>
      <c r="S61" s="2">
        <v>-23679803000000</v>
      </c>
      <c r="T61" s="2">
        <v>-15354813000000</v>
      </c>
      <c r="U61" s="2">
        <v>-13126655000000</v>
      </c>
      <c r="V61" s="2">
        <v>-13737272000000</v>
      </c>
      <c r="W61" s="2">
        <v>-11726559000000</v>
      </c>
      <c r="X61" s="2">
        <v>-12284636000000</v>
      </c>
      <c r="Y61" s="2">
        <v>-8445579000000</v>
      </c>
    </row>
    <row r="62">
      <c r="B62" t="str">
        <v>Laba Kotor</v>
      </c>
      <c r="C62" s="2">
        <v>40155032000000</v>
      </c>
      <c r="D62" s="2">
        <v>39473311000000</v>
      </c>
      <c r="E62" s="2">
        <v>37728329000000</v>
      </c>
      <c r="F62" s="2">
        <v>37412391000000</v>
      </c>
      <c r="H62" s="2">
        <v>150498429000000</v>
      </c>
      <c r="I62" s="2">
        <v>142658657000000</v>
      </c>
      <c r="J62" s="2">
        <v>137344879000000</v>
      </c>
      <c r="K62" s="2">
        <v>126174396000000</v>
      </c>
      <c r="L62" s="2">
        <v>115137504000000</v>
      </c>
      <c r="M62" s="2">
        <v>94462823000000</v>
      </c>
      <c r="N62" s="2">
        <v>82718033000000</v>
      </c>
      <c r="O62" s="2">
        <v>78611494000000</v>
      </c>
      <c r="P62" s="2">
        <v>73390901000000</v>
      </c>
      <c r="Q62" s="2">
        <v>67640401000000</v>
      </c>
      <c r="R62" s="2">
        <v>58279767000000</v>
      </c>
      <c r="S62" s="2">
        <v>51442410000000</v>
      </c>
      <c r="T62" s="2">
        <v>44106271000000</v>
      </c>
      <c r="U62" s="2">
        <v>36483766000000</v>
      </c>
      <c r="V62" s="2">
        <v>34427076000000</v>
      </c>
      <c r="W62" s="2">
        <v>32888603000000</v>
      </c>
      <c r="X62" s="2">
        <v>23049495000000</v>
      </c>
      <c r="Y62" s="2">
        <v>19651054000000</v>
      </c>
    </row>
    <row r="63">
      <c r="B63" t="str">
        <v>Total Beban Usaha</v>
      </c>
      <c r="C63" s="2">
        <v>-20095161000000</v>
      </c>
      <c r="D63" s="2">
        <v>-19296005000000</v>
      </c>
      <c r="E63" s="2">
        <v>-19662722000000</v>
      </c>
      <c r="F63" s="2">
        <v>-20026831000000</v>
      </c>
      <c r="H63" s="2">
        <v>-77250548000000</v>
      </c>
      <c r="I63" s="2">
        <v>-64442810000000</v>
      </c>
      <c r="J63" s="2">
        <v>-60516142000000</v>
      </c>
      <c r="K63" s="2">
        <v>-61868359000000</v>
      </c>
      <c r="L63" s="2">
        <v>-73993122000000</v>
      </c>
      <c r="M63" s="2">
        <v>-64684122000000</v>
      </c>
      <c r="N63" s="2">
        <v>-39286100000000</v>
      </c>
      <c r="O63" s="2">
        <v>-36885617000000</v>
      </c>
      <c r="P63" s="2">
        <v>-36585067000000</v>
      </c>
      <c r="Q63" s="2">
        <v>-33675859000000</v>
      </c>
      <c r="R63" s="2">
        <v>-27766860000000</v>
      </c>
      <c r="S63" s="2">
        <v>-23080533000000</v>
      </c>
      <c r="T63" s="2">
        <v>-17978694000000</v>
      </c>
      <c r="U63" s="2">
        <v>-13801228000000</v>
      </c>
      <c r="V63" s="2">
        <v>-16842846000000</v>
      </c>
      <c r="W63" s="2">
        <v>-18486602000000</v>
      </c>
      <c r="X63" s="2">
        <v>-14488836000000</v>
      </c>
      <c r="Y63" s="2">
        <v>-11304941000000</v>
      </c>
    </row>
    <row r="64">
      <c r="B64" t="str">
        <v>Pendapatan Operasional La...</v>
      </c>
    </row>
    <row r="65">
      <c r="B65" t="str">
        <v>Penerimaan Kembali Aset ...</v>
      </c>
      <c r="C65" s="2">
        <v>4326915000000</v>
      </c>
      <c r="D65" s="2">
        <v>5695791000000</v>
      </c>
      <c r="E65" s="2">
        <v>5072764000000</v>
      </c>
      <c r="F65" s="2">
        <v>5212746000000</v>
      </c>
      <c r="H65" s="2">
        <v>20952308000000</v>
      </c>
      <c r="I65" s="2">
        <v>25363951000000</v>
      </c>
      <c r="J65" s="2">
        <v>16833578000000</v>
      </c>
      <c r="K65" s="2">
        <v>12468321000000</v>
      </c>
      <c r="L65" s="2">
        <v>9005760000000</v>
      </c>
      <c r="M65" s="2">
        <v>7252171000000</v>
      </c>
      <c r="N65" s="2">
        <v>7065981000000</v>
      </c>
      <c r="O65" s="2">
        <v>6209435000000</v>
      </c>
      <c r="P65" s="2">
        <v>5050713000000</v>
      </c>
      <c r="Q65" s="2">
        <v>4496825000000</v>
      </c>
      <c r="R65" s="2">
        <v>2341945000000</v>
      </c>
      <c r="S65" s="2">
        <v>2100676000000</v>
      </c>
      <c r="T65" s="2">
        <v>1948158000000</v>
      </c>
      <c r="U65" s="2">
        <v>2258387000000</v>
      </c>
      <c r="V65" s="2">
        <v>1797048000000</v>
      </c>
      <c r="W65" s="2">
        <v>1525143000000</v>
      </c>
    </row>
    <row r="66">
      <c r="B66" t="str">
        <v>Keuntungan Transaksi Mat...</v>
      </c>
      <c r="C66" s="2">
        <v>580513000000</v>
      </c>
      <c r="D66" s="2">
        <v>530733000000</v>
      </c>
      <c r="E66" s="2">
        <v>238359000000</v>
      </c>
      <c r="F66" s="2">
        <v>571138000000</v>
      </c>
      <c r="H66" s="2">
        <v>2087065000000</v>
      </c>
      <c r="I66" s="2">
        <v>1187802000000</v>
      </c>
      <c r="J66" s="2">
        <v>402526000000</v>
      </c>
      <c r="K66" s="2">
        <v>1132079000000</v>
      </c>
      <c r="L66" s="2">
        <v>1713531000000</v>
      </c>
      <c r="M66" s="2">
        <v>1257838000000</v>
      </c>
      <c r="N66" s="2">
        <v>154157000000</v>
      </c>
      <c r="O66" s="2">
        <v>951009000000</v>
      </c>
      <c r="P66" s="2">
        <v>183974000000</v>
      </c>
      <c r="R66" s="2">
        <v>467167000000</v>
      </c>
      <c r="S66" s="2">
        <v>237304000000</v>
      </c>
      <c r="T66" s="2">
        <v>477524000000</v>
      </c>
      <c r="U66" s="2">
        <v>428800000000</v>
      </c>
      <c r="V66" s="2">
        <v>35521000000</v>
      </c>
      <c r="W66" s="2">
        <v>773019000000</v>
      </c>
      <c r="X66" s="2">
        <v>713431000000</v>
      </c>
      <c r="Y66" s="2">
        <v>613641000000</v>
      </c>
    </row>
    <row r="67">
      <c r="B67" t="str">
        <v>Kenaikan Nilai Wajar Ase...</v>
      </c>
    </row>
    <row r="68">
      <c r="B68" t="str">
        <v>Provisi Dan Komisi Lainn...</v>
      </c>
      <c r="C68" s="2">
        <v>5507050000000</v>
      </c>
      <c r="D68" s="2">
        <v>5743354000000</v>
      </c>
      <c r="E68" s="2">
        <v>5310800000000</v>
      </c>
      <c r="F68" s="2">
        <v>5194484000000</v>
      </c>
      <c r="H68" s="2">
        <v>21447045000000</v>
      </c>
      <c r="I68" s="2">
        <v>20390833000000</v>
      </c>
      <c r="J68" s="2">
        <v>20737913000000</v>
      </c>
      <c r="K68" s="2">
        <v>18794964000000</v>
      </c>
      <c r="L68" s="2">
        <v>17062124000000</v>
      </c>
      <c r="M68" s="2">
        <v>16180935000000</v>
      </c>
      <c r="N68" s="2">
        <v>14505762000000</v>
      </c>
      <c r="O68" s="2">
        <v>12018941000000</v>
      </c>
      <c r="P68" s="2">
        <v>10442240000000</v>
      </c>
      <c r="Q68" s="2">
        <v>9222558000000</v>
      </c>
      <c r="R68" s="2">
        <v>7355973000000</v>
      </c>
      <c r="S68" s="2">
        <v>6072460000000</v>
      </c>
      <c r="T68" s="2">
        <v>4862438000000</v>
      </c>
      <c r="U68" s="2">
        <v>230961000000</v>
      </c>
      <c r="V68" s="2">
        <v>151155000000</v>
      </c>
      <c r="W68" s="2">
        <v>80253000000</v>
      </c>
      <c r="X68" s="2">
        <v>75203000000</v>
      </c>
      <c r="Y68" s="2">
        <v>57829000000</v>
      </c>
    </row>
    <row r="69">
      <c r="B69" t="str">
        <v>Keuntungan Dari Perubaha...</v>
      </c>
      <c r="D69" s="2">
        <v>80441000000</v>
      </c>
      <c r="E69" s="2">
        <v>80218000000</v>
      </c>
      <c r="H69" s="2">
        <v>160659000000</v>
      </c>
      <c r="T69" s="2">
        <v>-13208000000</v>
      </c>
      <c r="U69" s="2">
        <v>13371000000</v>
      </c>
      <c r="V69" s="2">
        <v>13651000000</v>
      </c>
      <c r="W69" s="2">
        <v>3321000000</v>
      </c>
      <c r="X69" s="2">
        <v>127305000000</v>
      </c>
      <c r="Y69" s="2">
        <v>-150277000000</v>
      </c>
    </row>
    <row r="70">
      <c r="B70" t="str">
        <v>Others</v>
      </c>
      <c r="C70" s="2">
        <v>-1892484000000</v>
      </c>
      <c r="D70" s="2">
        <v>-1755980000000</v>
      </c>
      <c r="E70" s="2">
        <v>1088260000000</v>
      </c>
      <c r="F70" s="2">
        <v>3263532000000</v>
      </c>
      <c r="H70" s="2">
        <v>2909006000000</v>
      </c>
      <c r="I70" s="2">
        <v>1564472000000</v>
      </c>
      <c r="J70" s="2">
        <v>628611000000</v>
      </c>
      <c r="K70" s="2">
        <v>-2839024000000</v>
      </c>
      <c r="L70" s="2">
        <v>-5599323000000</v>
      </c>
      <c r="M70" s="2">
        <v>716344000000</v>
      </c>
      <c r="N70" s="2">
        <v>5084772000000</v>
      </c>
      <c r="O70" s="2">
        <v>-3477661000000</v>
      </c>
      <c r="P70" s="2">
        <v>1832681000000</v>
      </c>
      <c r="Q70" s="2">
        <v>15152016000000</v>
      </c>
      <c r="R70" s="2">
        <v>-538658000000</v>
      </c>
      <c r="S70" s="2">
        <v>506154000000</v>
      </c>
      <c r="T70" s="2">
        <v>-1437676000000</v>
      </c>
      <c r="U70" s="2">
        <v>-6030000000</v>
      </c>
      <c r="V70" s="2">
        <v>208505000000</v>
      </c>
    </row>
    <row r="71">
      <c r="B71" t="str">
        <v>Total Pendapatan Operas...</v>
      </c>
      <c r="C71" s="2">
        <v>47531056000000</v>
      </c>
      <c r="D71" s="2">
        <v>36386099000000</v>
      </c>
      <c r="E71" s="2">
        <v>29005619000000</v>
      </c>
      <c r="F71" s="2">
        <v>31212382000000</v>
      </c>
      <c r="H71" s="2">
        <v>122910518000000</v>
      </c>
      <c r="I71" s="2">
        <v>79487022000000</v>
      </c>
      <c r="J71" s="2">
        <v>45945429000000</v>
      </c>
      <c r="K71" s="2">
        <v>47302800000000</v>
      </c>
      <c r="L71" s="2">
        <v>41215807000000</v>
      </c>
      <c r="M71" s="2">
        <v>38099755000000</v>
      </c>
      <c r="N71" s="2">
        <v>28439130000000</v>
      </c>
      <c r="O71" s="2">
        <v>23425430000000</v>
      </c>
      <c r="P71" s="2">
        <v>19091067000000</v>
      </c>
      <c r="Q71" s="2">
        <v>17213112000000</v>
      </c>
      <c r="R71" s="2">
        <v>12409041000000</v>
      </c>
      <c r="S71" s="2">
        <v>9292740000000</v>
      </c>
      <c r="T71" s="2">
        <v>8335251000000</v>
      </c>
      <c r="U71" s="2">
        <v>8389732000000</v>
      </c>
      <c r="V71" s="2">
        <v>5775975000000</v>
      </c>
      <c r="W71" s="2">
        <v>5544533000000</v>
      </c>
      <c r="X71" s="2">
        <v>3269594000000</v>
      </c>
      <c r="Y71" s="2">
        <v>2384959000000</v>
      </c>
    </row>
    <row r="72">
      <c r="B72" t="str">
        <v>Beban Operasional Lainnya</v>
      </c>
    </row>
    <row r="73">
      <c r="B73" t="str">
        <v>Beban Penyisihan Kerugia...</v>
      </c>
      <c r="C73" s="2">
        <v>-15734000000</v>
      </c>
      <c r="D73" s="2">
        <v>-73821000000</v>
      </c>
      <c r="E73" s="2">
        <v>-7151000000</v>
      </c>
      <c r="F73" s="2">
        <v>-2590000000</v>
      </c>
      <c r="H73" s="2">
        <v>-82414000000</v>
      </c>
      <c r="I73" s="2">
        <v>-13008000000</v>
      </c>
      <c r="J73" s="2">
        <v>-497848000000</v>
      </c>
      <c r="K73" s="2">
        <v>-137431000000</v>
      </c>
      <c r="L73" s="2">
        <v>-163243000000</v>
      </c>
      <c r="M73" s="2">
        <v>-98374000000</v>
      </c>
      <c r="N73" s="2">
        <v>-595015000000</v>
      </c>
      <c r="O73" s="2">
        <v>-528982000000</v>
      </c>
      <c r="P73" s="2">
        <v>-239132000000</v>
      </c>
      <c r="Q73" s="2">
        <v>-90757000000</v>
      </c>
      <c r="R73" s="2">
        <v>-8056000000</v>
      </c>
      <c r="S73" s="2">
        <v>2721000000</v>
      </c>
      <c r="T73" s="2">
        <v>1309000000</v>
      </c>
      <c r="U73" s="2">
        <v>-31489000000</v>
      </c>
      <c r="V73" s="2">
        <v>164841000000</v>
      </c>
      <c r="W73" s="2">
        <v>-45222000000</v>
      </c>
      <c r="X73" s="2">
        <v>-362649000000</v>
      </c>
      <c r="Y73" s="2">
        <v>59140000000</v>
      </c>
    </row>
    <row r="74">
      <c r="B74" t="str">
        <v>Pemulihan Estimasi Kerug...</v>
      </c>
      <c r="C74" s="2">
        <v>214741000000</v>
      </c>
      <c r="D74" s="2">
        <v>402406000000</v>
      </c>
      <c r="E74" s="2">
        <v>-5705000000</v>
      </c>
      <c r="F74" s="2">
        <v>-135081000000</v>
      </c>
      <c r="H74" s="2">
        <v>624058000000</v>
      </c>
      <c r="I74" s="2">
        <v>3596482000000</v>
      </c>
      <c r="J74" s="2">
        <v>341994000000</v>
      </c>
      <c r="K74" s="2">
        <v>543145000000</v>
      </c>
      <c r="L74" s="2">
        <v>-3321266000000</v>
      </c>
      <c r="M74" s="2">
        <v>-2157162000000</v>
      </c>
      <c r="N74" s="2">
        <v>-608271000000</v>
      </c>
      <c r="O74" s="2">
        <v>912000000</v>
      </c>
      <c r="P74" s="2">
        <v>-1239000000</v>
      </c>
      <c r="Q74" s="2">
        <v>347000000</v>
      </c>
      <c r="R74" s="2">
        <v>-844000000</v>
      </c>
      <c r="S74" s="2">
        <v>-175000000</v>
      </c>
      <c r="T74" s="2">
        <v>191000000</v>
      </c>
      <c r="U74" s="2">
        <v>-262000000</v>
      </c>
      <c r="V74" s="2">
        <v>93623000000</v>
      </c>
      <c r="W74" s="2">
        <v>8315000000</v>
      </c>
      <c r="X74" s="2">
        <v>-14767000000</v>
      </c>
      <c r="Y74" s="2">
        <v>-13141000000</v>
      </c>
    </row>
    <row r="75">
      <c r="B75" t="str">
        <v>Beban Tenaga Kerja</v>
      </c>
      <c r="C75" s="2">
        <v>-11692590000000</v>
      </c>
      <c r="D75" s="2">
        <v>-9450135000000</v>
      </c>
      <c r="E75" s="2">
        <v>-10928379000000</v>
      </c>
      <c r="F75" s="2">
        <v>-11057301000000</v>
      </c>
      <c r="H75" s="2">
        <v>-42113566000000</v>
      </c>
      <c r="I75" s="2">
        <v>-38616534000000</v>
      </c>
      <c r="J75" s="2">
        <v>-37850275000000</v>
      </c>
      <c r="K75" s="2">
        <v>-39390133000000</v>
      </c>
      <c r="L75" s="2">
        <v>-38047126000000</v>
      </c>
      <c r="M75" s="2">
        <v>-33105269000000</v>
      </c>
      <c r="N75" s="2">
        <v>-24243276000000</v>
      </c>
      <c r="O75" s="2">
        <v>-22423271000000</v>
      </c>
      <c r="P75" s="2">
        <v>-20352004000000</v>
      </c>
      <c r="Q75" s="2">
        <v>-18485014000000</v>
      </c>
      <c r="R75" s="2">
        <v>-16599158000000</v>
      </c>
      <c r="S75" s="2">
        <v>-14111461000000</v>
      </c>
      <c r="T75" s="2">
        <v>-12231994000000</v>
      </c>
      <c r="U75" s="2">
        <v>-9605547000000</v>
      </c>
      <c r="V75" s="2">
        <v>-8700847000000</v>
      </c>
      <c r="W75" s="2">
        <v>-8675721000000</v>
      </c>
      <c r="X75" s="2">
        <v>-6675793000000</v>
      </c>
      <c r="Y75" s="2">
        <v>-6329075000000</v>
      </c>
    </row>
    <row r="76">
      <c r="B76" t="str">
        <v>Beban Umum Dan Administr...</v>
      </c>
      <c r="C76" s="2">
        <v>-7911245000000</v>
      </c>
      <c r="D76" s="2">
        <v>-11490439000000</v>
      </c>
      <c r="E76" s="2">
        <v>-7546602000000</v>
      </c>
      <c r="F76" s="2">
        <v>-7592663000000</v>
      </c>
      <c r="H76" s="2">
        <v>-33776049000000</v>
      </c>
      <c r="I76" s="2">
        <v>-29288456000000</v>
      </c>
      <c r="J76" s="2">
        <v>-28484209000000</v>
      </c>
      <c r="K76" s="2">
        <v>-25958686000000</v>
      </c>
      <c r="L76" s="2">
        <v>-23269044000000</v>
      </c>
      <c r="M76" s="2">
        <v>-21004682000000</v>
      </c>
      <c r="N76" s="2">
        <v>-15366752000000</v>
      </c>
      <c r="O76" s="2">
        <v>-14364278000000</v>
      </c>
      <c r="P76" s="2">
        <v>-13146944000000</v>
      </c>
      <c r="Q76" s="2">
        <v>-11975745000000</v>
      </c>
      <c r="R76" s="2">
        <v>-10380547000000</v>
      </c>
      <c r="S76" s="2">
        <v>-9184155000000</v>
      </c>
      <c r="T76" s="2">
        <v>-7518886000000</v>
      </c>
      <c r="U76" s="2">
        <v>-6343661000000</v>
      </c>
      <c r="V76" s="2">
        <v>-5678786000000</v>
      </c>
      <c r="W76" s="2">
        <v>-4711444000000</v>
      </c>
      <c r="X76" s="2">
        <v>-3717931000000</v>
      </c>
      <c r="Y76" s="2">
        <v>-3087606000000</v>
      </c>
    </row>
    <row r="77">
      <c r="B77" t="str">
        <v>Kerugian Transaksi Mata ...</v>
      </c>
      <c r="Q77" s="2">
        <v>-273832000000</v>
      </c>
    </row>
    <row r="78">
      <c r="B78" t="str">
        <v>Beban Premi Program Penj...</v>
      </c>
      <c r="Q78" s="2">
        <v>-1364741000000</v>
      </c>
      <c r="R78" s="2">
        <v>-1296475000000</v>
      </c>
      <c r="S78" s="2">
        <v>-1030657000000</v>
      </c>
      <c r="T78" s="2">
        <v>-911957000000</v>
      </c>
      <c r="U78" s="2">
        <v>-749297000000</v>
      </c>
      <c r="V78" s="2">
        <v>-624057000000</v>
      </c>
      <c r="W78" s="2">
        <v>-523991000000</v>
      </c>
      <c r="X78" s="2">
        <v>-424003000000</v>
      </c>
      <c r="Y78" s="2">
        <v>-349065000000</v>
      </c>
    </row>
    <row r="79">
      <c r="B79" t="str">
        <v>Total Beban Operasional...</v>
      </c>
      <c r="C79" s="2">
        <v>-67626217000000</v>
      </c>
      <c r="D79" s="2">
        <v>-55682104000000</v>
      </c>
      <c r="E79" s="2">
        <v>-48668341000000</v>
      </c>
      <c r="F79" s="2">
        <v>-51239213000000</v>
      </c>
      <c r="H79" s="2">
        <v>-200161066000000</v>
      </c>
      <c r="I79" s="2">
        <v>-143929832000000</v>
      </c>
      <c r="J79" s="2">
        <v>-106461571000000</v>
      </c>
      <c r="K79" s="2">
        <v>-109171159000000</v>
      </c>
      <c r="L79" s="2">
        <v>-115208929000000</v>
      </c>
      <c r="M79" s="2">
        <v>-102783877000000</v>
      </c>
      <c r="N79" s="2">
        <v>-67725230000000</v>
      </c>
      <c r="O79" s="2">
        <v>-60311047000000</v>
      </c>
      <c r="P79" s="2">
        <v>-55676134000000</v>
      </c>
      <c r="Q79" s="2">
        <v>-50888971000000</v>
      </c>
      <c r="R79" s="2">
        <v>-40175901000000</v>
      </c>
      <c r="S79" s="2">
        <v>-32373273000000</v>
      </c>
      <c r="T79" s="2">
        <v>-26313945000000</v>
      </c>
      <c r="U79" s="2">
        <v>-22190960000000</v>
      </c>
      <c r="V79" s="2">
        <v>-22618821000000</v>
      </c>
      <c r="W79" s="2">
        <v>-24031135000000</v>
      </c>
      <c r="X79" s="2">
        <v>-17758430000000</v>
      </c>
      <c r="Y79" s="2">
        <v>-13689900000000</v>
      </c>
    </row>
    <row r="80">
      <c r="B80" t="str">
        <v>Adjustment</v>
      </c>
    </row>
    <row r="81">
      <c r="B81" t="str">
        <v>Laba Usaha</v>
      </c>
      <c r="C81" s="2">
        <v>20059871000000</v>
      </c>
      <c r="D81" s="2">
        <v>20177306000000</v>
      </c>
      <c r="E81" s="2">
        <v>18065607000000</v>
      </c>
      <c r="F81" s="2">
        <v>17385560000000</v>
      </c>
      <c r="H81" s="2">
        <v>73247881000000</v>
      </c>
      <c r="I81" s="2">
        <v>78215847000000</v>
      </c>
      <c r="J81" s="2">
        <v>76828737000000</v>
      </c>
      <c r="K81" s="2">
        <v>64306037000000</v>
      </c>
      <c r="L81" s="2">
        <v>41144382000000</v>
      </c>
      <c r="M81" s="2">
        <v>29778701000000</v>
      </c>
      <c r="N81" s="2">
        <v>43431933000000</v>
      </c>
      <c r="O81" s="2">
        <v>41725877000000</v>
      </c>
      <c r="P81" s="2">
        <v>36805834000000</v>
      </c>
      <c r="Q81" s="2">
        <v>33964542000000</v>
      </c>
      <c r="R81" s="2">
        <v>30512907000000</v>
      </c>
      <c r="S81" s="2">
        <v>28361877000000</v>
      </c>
      <c r="T81" s="2">
        <v>26127577000000</v>
      </c>
      <c r="U81" s="2">
        <v>22682538000000</v>
      </c>
      <c r="V81" s="2">
        <v>17584230000000</v>
      </c>
      <c r="W81" s="2">
        <v>14402001000000</v>
      </c>
      <c r="X81" s="2">
        <v>8560659000000</v>
      </c>
      <c r="Y81" s="2">
        <v>8346113000000</v>
      </c>
    </row>
    <row r="82">
      <c r="B82" t="str">
        <v>Penghasilan/Beban Lain-Lain</v>
      </c>
      <c r="C82" s="2">
        <v>-74243000000</v>
      </c>
      <c r="D82" s="2">
        <v>-248048000000</v>
      </c>
      <c r="E82" s="2">
        <v>53758000000</v>
      </c>
      <c r="F82" s="2">
        <v>-22191000000</v>
      </c>
      <c r="H82" s="2">
        <v>-455062000000</v>
      </c>
      <c r="I82" s="2">
        <v>-963653000000</v>
      </c>
      <c r="J82" s="2">
        <v>-399025000000</v>
      </c>
      <c r="K82" s="2">
        <v>290664000000</v>
      </c>
      <c r="L82" s="2">
        <v>-152317000000</v>
      </c>
      <c r="M82" s="2">
        <v>214705000000</v>
      </c>
      <c r="N82" s="2">
        <v>-67880000000</v>
      </c>
      <c r="O82" s="2">
        <v>27817000000</v>
      </c>
      <c r="P82" s="2">
        <v>216323000000</v>
      </c>
      <c r="Q82" s="2">
        <v>9228000000</v>
      </c>
      <c r="R82" s="2">
        <v>1981111000000</v>
      </c>
      <c r="S82" s="2">
        <v>2497196000000</v>
      </c>
      <c r="T82" s="2">
        <v>1782489000000</v>
      </c>
      <c r="U82" s="2">
        <v>1177034000000</v>
      </c>
      <c r="V82" s="2">
        <v>1171650000000</v>
      </c>
      <c r="W82" s="2">
        <v>506229000000</v>
      </c>
      <c r="X82" s="2">
        <v>1330569000000</v>
      </c>
      <c r="Y82" s="2">
        <v>475899000000</v>
      </c>
    </row>
    <row r="83">
      <c r="B83" t="str">
        <v>Laba Sebelum Pajak</v>
      </c>
      <c r="C83" s="2">
        <v>19985628000000</v>
      </c>
      <c r="D83" s="2">
        <v>19929258000000</v>
      </c>
      <c r="E83" s="2">
        <v>18119365000000</v>
      </c>
      <c r="F83" s="2">
        <v>17363369000000</v>
      </c>
      <c r="H83" s="2">
        <v>72792819000000</v>
      </c>
      <c r="I83" s="2">
        <v>77252194000000</v>
      </c>
      <c r="J83" s="2">
        <v>76429712000000</v>
      </c>
      <c r="K83" s="2">
        <v>64596701000000</v>
      </c>
      <c r="L83" s="2">
        <v>40992065000000</v>
      </c>
      <c r="M83" s="2">
        <v>29993406000000</v>
      </c>
      <c r="N83" s="2">
        <v>43364053000000</v>
      </c>
      <c r="O83" s="2">
        <v>41753694000000</v>
      </c>
      <c r="P83" s="2">
        <v>37022157000000</v>
      </c>
      <c r="Q83" s="2">
        <v>33973770000000</v>
      </c>
      <c r="R83" s="2">
        <v>32494018000000</v>
      </c>
      <c r="S83" s="2">
        <v>30859073000000</v>
      </c>
      <c r="T83" s="2">
        <v>27910066000000</v>
      </c>
      <c r="U83" s="2">
        <v>23859572000000</v>
      </c>
      <c r="V83" s="2">
        <v>18755880000000</v>
      </c>
      <c r="W83" s="2">
        <v>14908230000000</v>
      </c>
      <c r="X83" s="2">
        <v>9891228000000</v>
      </c>
      <c r="Y83" s="2">
        <v>8822012000000</v>
      </c>
    </row>
    <row r="84">
      <c r="B84" t="str">
        <v>Beban Pajak Penghasilan</v>
      </c>
      <c r="C84" s="2">
        <v>-4351779000000</v>
      </c>
      <c r="D84" s="2">
        <v>-4029129000000</v>
      </c>
      <c r="E84" s="2">
        <v>-3420276000000</v>
      </c>
      <c r="F84" s="2">
        <v>-4572331000000</v>
      </c>
      <c r="H84" s="2">
        <v>-15660454000000</v>
      </c>
      <c r="I84" s="2">
        <v>-16945848000000</v>
      </c>
      <c r="J84" s="2">
        <v>-16004664000000</v>
      </c>
      <c r="K84" s="2">
        <v>-13188494000000</v>
      </c>
      <c r="L84" s="2">
        <v>-7835608000000</v>
      </c>
      <c r="M84" s="2">
        <v>-8951971000000</v>
      </c>
      <c r="N84" s="2">
        <v>-8950228000000</v>
      </c>
      <c r="O84" s="2">
        <v>-9335208000000</v>
      </c>
      <c r="P84" s="2">
        <v>-7977823000000</v>
      </c>
      <c r="Q84" s="2">
        <v>-7745779000000</v>
      </c>
      <c r="R84" s="2">
        <v>-7083230000000</v>
      </c>
      <c r="S84" s="2">
        <v>-6605228000000</v>
      </c>
      <c r="T84" s="2">
        <v>-6555736000000</v>
      </c>
      <c r="U84" s="2">
        <v>-5172192000000</v>
      </c>
      <c r="V84" s="2">
        <v>-3667884000000</v>
      </c>
      <c r="W84" s="2">
        <v>-3435845000000</v>
      </c>
      <c r="X84" s="2">
        <v>-2582936000000</v>
      </c>
      <c r="Y84" s="2">
        <v>-2863644000000</v>
      </c>
    </row>
    <row r="85">
      <c r="B85" t="str">
        <v>Pajak Kini</v>
      </c>
      <c r="V85" s="2">
        <v>-4075204000000</v>
      </c>
      <c r="W85" s="2">
        <v>-3922049000000</v>
      </c>
      <c r="X85" s="2">
        <v>-2633880000000</v>
      </c>
      <c r="Y85" s="2">
        <v>-3382854000000</v>
      </c>
    </row>
    <row r="86">
      <c r="B86" t="str">
        <v>Pajak Tangguhan</v>
      </c>
      <c r="V86" s="2">
        <v>407320000000</v>
      </c>
      <c r="W86" s="2">
        <v>486204000000</v>
      </c>
      <c r="X86" s="2">
        <v>50944000000</v>
      </c>
      <c r="Y86" s="2">
        <v>519210000000</v>
      </c>
    </row>
    <row r="87">
      <c r="B87" t="str">
        <v>Total Beban Pajak Penghasilan</v>
      </c>
      <c r="C87" s="2">
        <v>-4351779000000</v>
      </c>
      <c r="D87" s="2">
        <v>-4029129000000</v>
      </c>
      <c r="E87" s="2">
        <v>-3420276000000</v>
      </c>
      <c r="F87" s="2">
        <v>-4572331000000</v>
      </c>
      <c r="H87" s="2">
        <v>-15660454000000</v>
      </c>
      <c r="I87" s="2">
        <v>-16945848000000</v>
      </c>
      <c r="J87" s="2">
        <v>-16004664000000</v>
      </c>
      <c r="K87" s="2">
        <v>-13188494000000</v>
      </c>
      <c r="L87" s="2">
        <v>-7835608000000</v>
      </c>
      <c r="M87" s="2">
        <v>-8951971000000</v>
      </c>
      <c r="N87" s="2">
        <v>-8950228000000</v>
      </c>
      <c r="O87" s="2">
        <v>-9335208000000</v>
      </c>
      <c r="P87" s="2">
        <v>-7977823000000</v>
      </c>
      <c r="Q87" s="2">
        <v>-7745779000000</v>
      </c>
      <c r="R87" s="2">
        <v>-7083230000000</v>
      </c>
      <c r="S87" s="2">
        <v>-6605228000000</v>
      </c>
      <c r="T87" s="2">
        <v>-6555736000000</v>
      </c>
      <c r="U87" s="2">
        <v>-5172192000000</v>
      </c>
      <c r="V87" s="2">
        <v>-3667884000000</v>
      </c>
      <c r="W87" s="2">
        <v>-3435845000000</v>
      </c>
      <c r="X87" s="2">
        <v>-2582936000000</v>
      </c>
      <c r="Y87" s="2">
        <v>-2863644000000</v>
      </c>
    </row>
    <row r="88">
      <c r="B88" t="str">
        <v>Hak Minoritas</v>
      </c>
    </row>
    <row r="89">
      <c r="B89" t="str">
        <v>Proforma Laba Bersih Dari Trans...</v>
      </c>
      <c r="L89" s="2">
        <v>-2400691000000</v>
      </c>
      <c r="M89" s="2">
        <v>-2381042000000</v>
      </c>
    </row>
    <row r="90">
      <c r="B90" t="str">
        <v>Laba Bersih Tahun Berjalan</v>
      </c>
      <c r="C90" s="2">
        <v>15633849000000</v>
      </c>
      <c r="D90" s="2">
        <v>15900129000000</v>
      </c>
      <c r="E90" s="2">
        <v>14699089000000</v>
      </c>
      <c r="F90" s="2">
        <v>12791038000000</v>
      </c>
      <c r="H90" s="2">
        <v>57132365000000</v>
      </c>
      <c r="I90" s="2">
        <v>60306346000000</v>
      </c>
      <c r="J90" s="2">
        <v>60425048000000</v>
      </c>
      <c r="K90" s="2">
        <v>51408207000000</v>
      </c>
      <c r="L90" s="2">
        <v>30755766000000</v>
      </c>
      <c r="M90" s="2">
        <v>18660393000000</v>
      </c>
      <c r="N90" s="2">
        <v>34413825000000</v>
      </c>
      <c r="O90" s="2">
        <v>32418486000000</v>
      </c>
      <c r="P90" s="2">
        <v>29044334000000</v>
      </c>
      <c r="Q90" s="2">
        <v>26227991000000</v>
      </c>
      <c r="R90" s="2">
        <v>25410788000000</v>
      </c>
      <c r="S90" s="2">
        <v>24253845000000</v>
      </c>
      <c r="T90" s="2">
        <v>21354330000000</v>
      </c>
      <c r="U90" s="2">
        <v>18687380000000</v>
      </c>
      <c r="V90" s="2">
        <v>15087996000000</v>
      </c>
      <c r="W90" s="2">
        <v>11472385000000</v>
      </c>
      <c r="X90" s="2">
        <v>7308292000000</v>
      </c>
      <c r="Y90" s="2">
        <v>5958368000000</v>
      </c>
    </row>
    <row r="91">
      <c r="B91" t="str">
        <v>Pendapatan Komprehensif Lain</v>
      </c>
      <c r="C91" s="2">
        <v>-1892484000000</v>
      </c>
      <c r="D91" s="2">
        <v>-1755980000000</v>
      </c>
      <c r="E91" s="2">
        <v>1088260000000</v>
      </c>
      <c r="F91" s="2">
        <v>3263532000000</v>
      </c>
      <c r="H91" s="2">
        <v>2909006000000</v>
      </c>
      <c r="I91" s="2">
        <v>1564472000000</v>
      </c>
      <c r="J91" s="2">
        <v>628611000000</v>
      </c>
      <c r="K91" s="2">
        <v>-2839024000000</v>
      </c>
      <c r="L91" s="2">
        <v>-5599323000000</v>
      </c>
      <c r="M91" s="2">
        <v>716344000000</v>
      </c>
      <c r="N91" s="2">
        <v>5084772000000</v>
      </c>
      <c r="O91" s="2">
        <v>-3477661000000</v>
      </c>
      <c r="P91" s="2">
        <v>1832681000000</v>
      </c>
      <c r="Q91" s="2">
        <v>15152016000000</v>
      </c>
      <c r="R91" s="2">
        <v>-538658000000</v>
      </c>
      <c r="S91" s="2">
        <v>506154000000</v>
      </c>
      <c r="T91" s="2">
        <v>-1437676000000</v>
      </c>
      <c r="U91" s="2">
        <v>-6030000000</v>
      </c>
      <c r="V91" s="2">
        <v>208505000000</v>
      </c>
    </row>
    <row r="92">
      <c r="B92" t="str">
        <v>Total Pendapatan Komprehensif...</v>
      </c>
      <c r="C92" s="2">
        <v>-1892484000000</v>
      </c>
      <c r="D92" s="2">
        <v>-1755980000000</v>
      </c>
      <c r="E92" s="2">
        <v>1088260000000</v>
      </c>
      <c r="F92" s="2">
        <v>3263532000000</v>
      </c>
      <c r="H92" s="2">
        <v>2909006000000</v>
      </c>
      <c r="I92" s="2">
        <v>1564472000000</v>
      </c>
      <c r="J92" s="2">
        <v>628611000000</v>
      </c>
      <c r="K92" s="2">
        <v>-2839024000000</v>
      </c>
      <c r="L92" s="2">
        <v>-5599323000000</v>
      </c>
      <c r="M92" s="2">
        <v>716344000000</v>
      </c>
      <c r="N92" s="2">
        <v>5084772000000</v>
      </c>
      <c r="O92" s="2">
        <v>-3477661000000</v>
      </c>
      <c r="P92" s="2">
        <v>1832681000000</v>
      </c>
      <c r="Q92" s="2">
        <v>15152016000000</v>
      </c>
      <c r="R92" s="2">
        <v>-538658000000</v>
      </c>
      <c r="S92" s="2">
        <v>506154000000</v>
      </c>
      <c r="T92" s="2">
        <v>-1437676000000</v>
      </c>
      <c r="U92" s="2">
        <v>-6030000000</v>
      </c>
      <c r="V92" s="2">
        <v>208505000000</v>
      </c>
    </row>
    <row r="93">
      <c r="B93" t="str">
        <v>Jumlah Laba Komprehensif</v>
      </c>
      <c r="C93" s="2">
        <v>13741365000000</v>
      </c>
      <c r="D93" s="2">
        <v>14144149000000</v>
      </c>
      <c r="E93" s="2">
        <v>15787349000000</v>
      </c>
      <c r="F93" s="2">
        <v>16054570000000</v>
      </c>
      <c r="H93" s="2">
        <v>60041371000000</v>
      </c>
      <c r="I93" s="2">
        <v>61870818000000</v>
      </c>
      <c r="J93" s="2">
        <v>61053659000000</v>
      </c>
      <c r="K93" s="2">
        <v>48569183000000</v>
      </c>
      <c r="L93" s="2">
        <v>27557134000000</v>
      </c>
      <c r="M93" s="2">
        <v>21757779000000</v>
      </c>
      <c r="N93" s="2">
        <v>39498597000000</v>
      </c>
      <c r="O93" s="2">
        <v>28940825000000</v>
      </c>
      <c r="P93" s="2">
        <v>30877015000000</v>
      </c>
      <c r="Q93" s="2">
        <v>41380007000000</v>
      </c>
      <c r="R93" s="2">
        <v>24872130000000</v>
      </c>
      <c r="S93" s="2">
        <v>24759999000000</v>
      </c>
      <c r="T93" s="2">
        <v>19916654000000</v>
      </c>
      <c r="U93" s="2">
        <v>18681350000000</v>
      </c>
      <c r="V93" s="2">
        <v>15296501000000</v>
      </c>
      <c r="W93" s="2">
        <v>11472385000000</v>
      </c>
      <c r="X93" s="2">
        <v>7308292000000</v>
      </c>
      <c r="Y93" s="2">
        <v>5958368000000</v>
      </c>
    </row>
    <row r="94">
      <c r="B94" t="str">
        <v>Laba Bersih Yang Dapat Diatribu...</v>
      </c>
      <c r="C94" s="2">
        <v>15633849000000</v>
      </c>
      <c r="D94" s="2">
        <v>15900129000000</v>
      </c>
      <c r="E94" s="2">
        <v>14699089000000</v>
      </c>
      <c r="F94" s="2">
        <v>12791038000000</v>
      </c>
      <c r="H94" s="2">
        <v>57132365000000</v>
      </c>
      <c r="I94" s="2">
        <v>60306346000000</v>
      </c>
      <c r="J94" s="2">
        <v>60425048000000</v>
      </c>
      <c r="K94" s="2">
        <v>51408207000000</v>
      </c>
      <c r="L94" s="2">
        <v>30755766000000</v>
      </c>
      <c r="M94" s="2">
        <v>18660393000000</v>
      </c>
      <c r="N94" s="2">
        <v>34413825000000</v>
      </c>
      <c r="O94" s="2">
        <v>32418486000000</v>
      </c>
      <c r="P94" s="2">
        <v>29044334000000</v>
      </c>
      <c r="Q94" s="2">
        <v>26227991000000</v>
      </c>
      <c r="R94" s="2">
        <v>25410788000000</v>
      </c>
      <c r="S94" s="2">
        <v>24253845000000</v>
      </c>
      <c r="T94" s="2">
        <v>21354330000000</v>
      </c>
      <c r="U94" s="2">
        <v>18687380000000</v>
      </c>
      <c r="V94" s="2">
        <v>15087996000000</v>
      </c>
      <c r="W94" s="2">
        <v>11472385000000</v>
      </c>
      <c r="X94" s="2">
        <v>7308292000000</v>
      </c>
      <c r="Y94" s="2">
        <v>5958368000000</v>
      </c>
    </row>
    <row r="95">
      <c r="B95" t="str">
        <v>Pemilik Entitas Induk</v>
      </c>
      <c r="C95" s="2">
        <v>13790415000000</v>
      </c>
      <c r="D95" s="2">
        <v>14076300000000</v>
      </c>
      <c r="E95" s="2">
        <v>15570860000000</v>
      </c>
      <c r="F95" s="2">
        <v>15715890000000</v>
      </c>
      <c r="H95" s="2">
        <v>59265589000000</v>
      </c>
      <c r="I95" s="2">
        <v>61620303000000</v>
      </c>
      <c r="J95" s="2">
        <v>60708390000000</v>
      </c>
      <c r="K95" s="2">
        <v>48333349000000</v>
      </c>
      <c r="L95" s="2">
        <v>27855902000000</v>
      </c>
      <c r="M95" s="2">
        <v>21727515000000</v>
      </c>
      <c r="N95" s="2">
        <v>39403628000000</v>
      </c>
      <c r="O95" s="2">
        <v>28910721000000</v>
      </c>
      <c r="P95" s="2">
        <v>30805784000000</v>
      </c>
      <c r="Q95" s="2">
        <v>41340376000000</v>
      </c>
      <c r="R95" s="2">
        <v>24861081000000</v>
      </c>
      <c r="S95" s="2">
        <v>24744791000000</v>
      </c>
      <c r="T95" s="2">
        <v>19913198000000</v>
      </c>
      <c r="U95" s="2">
        <v>18652098000000</v>
      </c>
      <c r="V95" s="2">
        <v>15288295000000</v>
      </c>
    </row>
    <row r="96">
      <c r="B96" t="str">
        <v>Kepentingan Non-Pegendali</v>
      </c>
      <c r="C96" s="2">
        <v>-49050000000</v>
      </c>
      <c r="D96" s="2">
        <v>67849000000</v>
      </c>
      <c r="E96" s="2">
        <v>216489000000</v>
      </c>
      <c r="F96" s="2">
        <v>338680000000</v>
      </c>
      <c r="H96" s="2">
        <v>775782000000</v>
      </c>
      <c r="I96" s="2">
        <v>250515000000</v>
      </c>
      <c r="J96" s="2">
        <v>345269000000</v>
      </c>
      <c r="K96" s="2">
        <v>235834000000</v>
      </c>
      <c r="L96" s="2">
        <v>-298768000000</v>
      </c>
      <c r="M96" s="2">
        <v>30264000000</v>
      </c>
      <c r="N96" s="2">
        <v>94969000000</v>
      </c>
      <c r="O96" s="2">
        <v>30104000000</v>
      </c>
      <c r="P96" s="2">
        <v>71231000000</v>
      </c>
      <c r="Q96" s="2">
        <v>39631000000</v>
      </c>
      <c r="R96" s="2">
        <v>11049000000</v>
      </c>
      <c r="S96" s="2">
        <v>15208000000</v>
      </c>
      <c r="T96" s="2">
        <v>3456000000</v>
      </c>
      <c r="U96" s="2">
        <v>29252000000</v>
      </c>
      <c r="V96" s="2">
        <v>8206000000</v>
      </c>
    </row>
    <row r="97">
      <c r="B97" t="str">
        <v>Total Laba Bersih Yang Dapat ...</v>
      </c>
      <c r="C97" s="2">
        <v>15633849000000</v>
      </c>
      <c r="D97" s="2">
        <v>15900129000000</v>
      </c>
      <c r="E97" s="2">
        <v>14699089000000</v>
      </c>
      <c r="F97" s="2">
        <v>12791038000000</v>
      </c>
      <c r="H97" s="2">
        <v>57132365000000</v>
      </c>
      <c r="I97" s="2">
        <v>60306346000000</v>
      </c>
      <c r="J97" s="2">
        <v>60425048000000</v>
      </c>
      <c r="K97" s="2">
        <v>51408207000000</v>
      </c>
      <c r="L97" s="2">
        <v>30755766000000</v>
      </c>
      <c r="M97" s="2">
        <v>18660393000000</v>
      </c>
      <c r="N97" s="2">
        <v>34413825000000</v>
      </c>
      <c r="O97" s="2">
        <v>32418486000000</v>
      </c>
      <c r="P97" s="2">
        <v>29044334000000</v>
      </c>
      <c r="Q97" s="2">
        <v>26227991000000</v>
      </c>
      <c r="R97" s="2">
        <v>25410788000000</v>
      </c>
      <c r="S97" s="2">
        <v>24253845000000</v>
      </c>
      <c r="T97" s="2">
        <v>21354330000000</v>
      </c>
      <c r="U97" s="2">
        <v>18687380000000</v>
      </c>
      <c r="V97" s="2">
        <v>15087996000000</v>
      </c>
      <c r="W97" s="2">
        <v>11472385000000</v>
      </c>
      <c r="X97" s="2">
        <v>7308292000000</v>
      </c>
      <c r="Y97" s="2">
        <v>5958368000000</v>
      </c>
    </row>
    <row r="98">
      <c r="B98" t="str">
        <v>Laba Komprehensif Yang Dapat Di...</v>
      </c>
      <c r="C98" s="2">
        <v>13741365000000</v>
      </c>
      <c r="D98" s="2">
        <v>14144149000000</v>
      </c>
      <c r="E98" s="2">
        <v>15787349000000</v>
      </c>
      <c r="F98" s="2">
        <v>16054570000000</v>
      </c>
      <c r="H98" s="2">
        <v>60041371000000</v>
      </c>
      <c r="I98" s="2">
        <v>61870818000000</v>
      </c>
      <c r="J98" s="2">
        <v>61053659000000</v>
      </c>
      <c r="K98" s="2">
        <v>48569183000000</v>
      </c>
      <c r="L98" s="2">
        <v>27557134000000</v>
      </c>
      <c r="M98" s="2">
        <v>21757779000000</v>
      </c>
      <c r="N98" s="2">
        <v>39498597000000</v>
      </c>
      <c r="O98" s="2">
        <v>28940825000000</v>
      </c>
      <c r="P98" s="2">
        <v>30877015000000</v>
      </c>
      <c r="Q98" s="2">
        <v>41380007000000</v>
      </c>
      <c r="R98" s="2">
        <v>24872130000000</v>
      </c>
      <c r="S98" s="2">
        <v>24759999000000</v>
      </c>
      <c r="T98" s="2">
        <v>19916654000000</v>
      </c>
      <c r="U98" s="2">
        <v>18681350000000</v>
      </c>
      <c r="V98" s="2">
        <v>15296501000000</v>
      </c>
    </row>
    <row r="99">
      <c r="B99" t="str">
        <v>Total Laba Komprehensif Yang ...</v>
      </c>
      <c r="C99" s="2">
        <v>13741365000000</v>
      </c>
      <c r="D99" s="2">
        <v>14144149000000</v>
      </c>
      <c r="E99" s="2">
        <v>15787349000000</v>
      </c>
      <c r="F99" s="2">
        <v>16054570000000</v>
      </c>
      <c r="H99" s="2">
        <v>60041371000000</v>
      </c>
      <c r="I99" s="2">
        <v>61870818000000</v>
      </c>
      <c r="J99" s="2">
        <v>61053659000000</v>
      </c>
      <c r="K99" s="2">
        <v>48569183000000</v>
      </c>
      <c r="L99" s="2">
        <v>27557134000000</v>
      </c>
      <c r="M99" s="2">
        <v>21757779000000</v>
      </c>
      <c r="N99" s="2">
        <v>39498597000000</v>
      </c>
      <c r="O99" s="2">
        <v>28940825000000</v>
      </c>
      <c r="P99" s="2">
        <v>30877015000000</v>
      </c>
      <c r="Q99" s="2">
        <v>41380007000000</v>
      </c>
      <c r="R99" s="2">
        <v>24872130000000</v>
      </c>
      <c r="S99" s="2">
        <v>24759999000000</v>
      </c>
      <c r="T99" s="2">
        <v>19916654000000</v>
      </c>
      <c r="U99" s="2">
        <v>18681350000000</v>
      </c>
      <c r="V99" s="2">
        <v>15296501000000</v>
      </c>
    </row>
    <row r="101">
      <c r="A101" t="str">
        <v>Balance Sheet</v>
      </c>
      <c r="B101" t="str">
        <v>Aset</v>
      </c>
    </row>
    <row r="102">
      <c r="B102" t="str">
        <v>Kas Dan Setara Kas</v>
      </c>
      <c r="C102" s="2">
        <v>33059126000000</v>
      </c>
      <c r="D102" s="2">
        <v>32044482000000</v>
      </c>
      <c r="E102" s="2">
        <v>24194981000000</v>
      </c>
      <c r="F102" s="2">
        <v>26438079000000</v>
      </c>
      <c r="H102" s="2">
        <v>32044482000000</v>
      </c>
      <c r="I102" s="2">
        <v>29783642000000</v>
      </c>
      <c r="J102" s="2">
        <v>31603784000000</v>
      </c>
      <c r="K102" s="2">
        <v>27407478000000</v>
      </c>
      <c r="L102" s="2">
        <v>26299973000000</v>
      </c>
      <c r="M102" s="2">
        <v>32161564000000</v>
      </c>
      <c r="N102" s="2">
        <v>30219214000000</v>
      </c>
      <c r="O102" s="2">
        <v>27421625000000</v>
      </c>
      <c r="P102" s="2">
        <v>24797782000000</v>
      </c>
      <c r="Q102" s="2">
        <v>25212024000000</v>
      </c>
      <c r="R102" s="2">
        <v>28771635000000</v>
      </c>
      <c r="S102" s="2">
        <v>22469167000000</v>
      </c>
      <c r="T102" s="2">
        <v>19171778000000</v>
      </c>
      <c r="U102" s="2">
        <v>13895464000000</v>
      </c>
      <c r="V102" s="2">
        <v>10525973000000</v>
      </c>
      <c r="W102" s="2">
        <v>9975712000000</v>
      </c>
      <c r="X102" s="2">
        <v>8139304000000</v>
      </c>
      <c r="Y102" s="2">
        <v>6750145000000</v>
      </c>
    </row>
    <row r="103">
      <c r="B103" t="str">
        <v>Giro Pada Bank Indonesia</v>
      </c>
      <c r="C103" s="2">
        <v>67814966000000</v>
      </c>
      <c r="D103" s="2">
        <v>31929608000000</v>
      </c>
      <c r="E103" s="2">
        <v>76295440000000</v>
      </c>
      <c r="F103" s="2">
        <v>64358693000000</v>
      </c>
      <c r="H103" s="2">
        <v>31929608000000</v>
      </c>
      <c r="I103" s="2">
        <v>88878969000000</v>
      </c>
      <c r="J103" s="2">
        <v>101909121000000</v>
      </c>
      <c r="K103" s="2">
        <v>150935150000000</v>
      </c>
      <c r="L103" s="2">
        <v>56426573000000</v>
      </c>
      <c r="M103" s="2">
        <v>51530969000000</v>
      </c>
      <c r="N103" s="2">
        <v>71416449000000</v>
      </c>
      <c r="O103" s="2">
        <v>71159442000000</v>
      </c>
      <c r="P103" s="2">
        <v>58155479000000</v>
      </c>
      <c r="Q103" s="2">
        <v>55635946000000</v>
      </c>
      <c r="R103" s="2">
        <v>61717798000000</v>
      </c>
      <c r="S103" s="2">
        <v>51184429000000</v>
      </c>
      <c r="T103" s="2">
        <v>40718495000000</v>
      </c>
      <c r="U103" s="2">
        <v>42524126000000</v>
      </c>
      <c r="V103" s="2">
        <v>33040418000000</v>
      </c>
      <c r="W103" s="2">
        <v>19989683000000</v>
      </c>
      <c r="X103" s="2">
        <v>12893414000000</v>
      </c>
      <c r="Y103" s="2">
        <v>9945696000000</v>
      </c>
    </row>
    <row r="104">
      <c r="B104" t="str">
        <v>Penempatan Pada Bank Indo...</v>
      </c>
    </row>
    <row r="105">
      <c r="B105" t="str">
        <v>Penempatan Pada Bank Ind...</v>
      </c>
      <c r="C105" s="2">
        <v>20199337000000</v>
      </c>
      <c r="D105" s="2">
        <v>21057210000000</v>
      </c>
      <c r="E105" s="2">
        <v>36999242000000</v>
      </c>
      <c r="F105" s="2">
        <v>84741293000000</v>
      </c>
      <c r="H105" s="2">
        <v>21057210000000</v>
      </c>
      <c r="I105" s="2">
        <v>57874335000000</v>
      </c>
      <c r="J105" s="2">
        <v>65225260000000</v>
      </c>
      <c r="K105" s="2">
        <v>70401901000000</v>
      </c>
      <c r="L105" s="2">
        <v>58982842000000</v>
      </c>
      <c r="M105" s="2">
        <v>66539685000000</v>
      </c>
      <c r="N105" s="2">
        <v>116854727000000</v>
      </c>
      <c r="O105" s="2">
        <v>87018051000000</v>
      </c>
      <c r="P105" s="2">
        <v>55105687000000</v>
      </c>
      <c r="Q105" s="2">
        <v>78142754000000</v>
      </c>
      <c r="R105" s="2">
        <v>49834664000000</v>
      </c>
      <c r="S105" s="2">
        <v>62035442000000</v>
      </c>
      <c r="T105" s="2">
        <v>36306883000000</v>
      </c>
      <c r="U105" s="2">
        <v>66242928000000</v>
      </c>
      <c r="V105" s="2">
        <v>73596656000000</v>
      </c>
      <c r="W105" s="2">
        <v>83272390000000</v>
      </c>
      <c r="X105" s="2">
        <v>40631290000000</v>
      </c>
      <c r="Y105" s="2">
        <v>22908327000000</v>
      </c>
    </row>
    <row r="106">
      <c r="B106" t="str">
        <v>Pihak Ketiga</v>
      </c>
      <c r="W106" s="2">
        <v>9454545000000</v>
      </c>
    </row>
    <row r="107">
      <c r="B107" t="str">
        <v>Pihak Berelasi</v>
      </c>
    </row>
    <row r="108">
      <c r="B108" t="str">
        <v>Total Penempatan Pada ...</v>
      </c>
      <c r="C108" s="2">
        <v>20199337000000</v>
      </c>
      <c r="D108" s="2">
        <v>21057210000000</v>
      </c>
      <c r="E108" s="2">
        <v>36999242000000</v>
      </c>
      <c r="F108" s="2">
        <v>84741293000000</v>
      </c>
      <c r="H108" s="2">
        <v>21057210000000</v>
      </c>
      <c r="I108" s="2">
        <v>57874335000000</v>
      </c>
      <c r="J108" s="2">
        <v>65225260000000</v>
      </c>
      <c r="K108" s="2">
        <v>70401901000000</v>
      </c>
      <c r="L108" s="2">
        <v>58982842000000</v>
      </c>
      <c r="M108" s="2">
        <v>66539685000000</v>
      </c>
      <c r="N108" s="2">
        <v>116854727000000</v>
      </c>
      <c r="O108" s="2">
        <v>87018051000000</v>
      </c>
      <c r="P108" s="2">
        <v>55105687000000</v>
      </c>
      <c r="Q108" s="2">
        <v>78142754000000</v>
      </c>
      <c r="R108" s="2">
        <v>49834664000000</v>
      </c>
      <c r="S108" s="2">
        <v>62035442000000</v>
      </c>
      <c r="T108" s="2">
        <v>36306883000000</v>
      </c>
      <c r="U108" s="2">
        <v>66242928000000</v>
      </c>
      <c r="V108" s="2">
        <v>73596656000000</v>
      </c>
      <c r="W108" s="2">
        <v>83272390000000</v>
      </c>
      <c r="X108" s="2">
        <v>40631290000000</v>
      </c>
      <c r="Y108" s="2">
        <v>22908327000000</v>
      </c>
    </row>
    <row r="109">
      <c r="B109" t="str">
        <v>Others</v>
      </c>
      <c r="C109" s="2">
        <v>16523295000000</v>
      </c>
      <c r="D109" s="2">
        <v>17846335000000</v>
      </c>
      <c r="E109" s="2">
        <v>19824932000000</v>
      </c>
      <c r="F109" s="2">
        <v>18645294000000</v>
      </c>
      <c r="H109" s="2">
        <v>17846335000000</v>
      </c>
      <c r="I109" s="2">
        <v>15537789000000</v>
      </c>
      <c r="J109" s="2">
        <v>14221057000000</v>
      </c>
      <c r="K109" s="2">
        <v>14909044000000</v>
      </c>
      <c r="L109" s="2">
        <v>19905087000000</v>
      </c>
      <c r="M109" s="2">
        <v>20826296000000</v>
      </c>
      <c r="N109" s="2">
        <v>15927717000000</v>
      </c>
      <c r="O109" s="2">
        <v>10977200000000</v>
      </c>
      <c r="P109" s="2">
        <v>13979971000000</v>
      </c>
      <c r="Q109" s="2">
        <v>12170722000000</v>
      </c>
      <c r="R109" s="2">
        <v>-2841309000000</v>
      </c>
      <c r="S109" s="2">
        <v>-142420000000</v>
      </c>
      <c r="T109" s="2">
        <v>-645561000000</v>
      </c>
      <c r="U109" s="2">
        <v>785371000000</v>
      </c>
      <c r="V109" s="2">
        <v>814157000000</v>
      </c>
      <c r="W109" s="2">
        <v>608801000000</v>
      </c>
      <c r="X109" s="2">
        <v>535412000000</v>
      </c>
      <c r="Y109" s="2">
        <v>163184000000</v>
      </c>
    </row>
    <row r="110">
      <c r="B110" t="str">
        <v>Total Penempatan Pada B...</v>
      </c>
      <c r="C110" s="2">
        <v>20197903000000</v>
      </c>
      <c r="D110" s="2">
        <v>21054805000000</v>
      </c>
      <c r="E110" s="2">
        <v>36997843000000</v>
      </c>
      <c r="F110" s="2">
        <v>84739705000000</v>
      </c>
      <c r="H110" s="2">
        <v>21054805000000</v>
      </c>
      <c r="I110" s="2">
        <v>57873568000000</v>
      </c>
      <c r="J110" s="2">
        <v>65223400000000</v>
      </c>
      <c r="K110" s="2">
        <v>70399920000000</v>
      </c>
      <c r="L110" s="2">
        <v>58976665000000</v>
      </c>
      <c r="M110" s="2">
        <v>66521615000000</v>
      </c>
      <c r="N110" s="2">
        <v>116854727000000</v>
      </c>
      <c r="O110" s="2">
        <v>87018051000000</v>
      </c>
      <c r="P110" s="2">
        <v>55105687000000</v>
      </c>
      <c r="Q110" s="2">
        <v>78142754000000</v>
      </c>
      <c r="R110" s="2">
        <v>49834664000000</v>
      </c>
      <c r="S110" s="2">
        <v>62035442000000</v>
      </c>
      <c r="T110" s="2">
        <v>36306883000000</v>
      </c>
      <c r="U110" s="2">
        <v>66242928000000</v>
      </c>
      <c r="V110" s="2">
        <v>73596356000000</v>
      </c>
      <c r="W110" s="2">
        <v>83272140000000</v>
      </c>
      <c r="X110" s="2">
        <v>40495057000000</v>
      </c>
      <c r="Y110" s="2">
        <v>22235561000000</v>
      </c>
    </row>
    <row r="111">
      <c r="B111" t="str">
        <v>Total Pihak Ketiga</v>
      </c>
      <c r="W111" s="2">
        <v>246504161000000</v>
      </c>
      <c r="X111" s="2">
        <v>205037003000000</v>
      </c>
      <c r="Y111" s="2">
        <v>159657070000000</v>
      </c>
    </row>
    <row r="112">
      <c r="B112" t="str">
        <v>Total Pihak Berelas...</v>
      </c>
      <c r="W112" s="2">
        <v>460077000000</v>
      </c>
      <c r="X112" s="2">
        <v>485391000000</v>
      </c>
      <c r="Y112" s="2">
        <v>451613000000</v>
      </c>
    </row>
    <row r="113">
      <c r="B113" t="str">
        <v>Obligasi Pemerintah</v>
      </c>
      <c r="N113" s="2">
        <v>1130306000000</v>
      </c>
      <c r="O113" s="2">
        <v>1505273000000</v>
      </c>
      <c r="P113" s="2">
        <v>3317840000000</v>
      </c>
      <c r="Q113" s="2">
        <v>3318434000000</v>
      </c>
      <c r="R113" s="2">
        <v>3815958000000</v>
      </c>
      <c r="S113" s="2">
        <v>4303596000000</v>
      </c>
      <c r="T113" s="2">
        <v>4511419000000</v>
      </c>
      <c r="U113" s="2">
        <v>4315616000000</v>
      </c>
      <c r="V113" s="2">
        <v>8996026000000</v>
      </c>
      <c r="W113" s="2">
        <v>13626463000000</v>
      </c>
      <c r="X113" s="2">
        <v>15027074000000</v>
      </c>
      <c r="Y113" s="2">
        <v>16352318000000</v>
      </c>
    </row>
    <row r="114">
      <c r="B114" t="str">
        <v>Total Obligasi Pemerint...</v>
      </c>
      <c r="N114" s="2">
        <v>1130306000000</v>
      </c>
      <c r="O114" s="2">
        <v>1505273000000</v>
      </c>
      <c r="P114" s="2">
        <v>3317840000000</v>
      </c>
      <c r="Q114" s="2">
        <v>3318434000000</v>
      </c>
      <c r="R114" s="2">
        <v>3815958000000</v>
      </c>
      <c r="S114" s="2">
        <v>4303596000000</v>
      </c>
      <c r="T114" s="2">
        <v>4511419000000</v>
      </c>
      <c r="U114" s="2">
        <v>4315616000000</v>
      </c>
      <c r="V114" s="2">
        <v>8996026000000</v>
      </c>
      <c r="W114" s="2">
        <v>13626463000000</v>
      </c>
      <c r="X114" s="2">
        <v>15027074000000</v>
      </c>
      <c r="Y114" s="2">
        <v>16352318000000</v>
      </c>
    </row>
    <row r="115">
      <c r="B115" t="str">
        <v>Pinjaman Yang Diberikan</v>
      </c>
      <c r="C115" s="2">
        <v>1497270336000000</v>
      </c>
      <c r="D115" s="2">
        <v>1460729418000000</v>
      </c>
      <c r="E115" s="2">
        <v>1379689071000000</v>
      </c>
      <c r="F115" s="2">
        <v>1358009739000000</v>
      </c>
      <c r="H115" s="2">
        <v>1460729418000000</v>
      </c>
      <c r="I115" s="2">
        <v>1298318089000000</v>
      </c>
      <c r="J115" s="2">
        <v>1212578086000000</v>
      </c>
      <c r="K115" s="2">
        <v>1079274819000000</v>
      </c>
      <c r="L115" s="2">
        <v>994416523000000</v>
      </c>
      <c r="M115" s="2">
        <v>899458207000000</v>
      </c>
      <c r="N115" s="2">
        <v>877431193000000</v>
      </c>
      <c r="O115" s="2">
        <v>820010157000000</v>
      </c>
      <c r="P115" s="2">
        <v>718982668000000</v>
      </c>
      <c r="Q115" s="2">
        <v>643470975000000</v>
      </c>
      <c r="R115" s="2">
        <v>564480538000000</v>
      </c>
      <c r="S115" s="2">
        <v>495097288000000</v>
      </c>
      <c r="T115" s="2">
        <v>434316466000000</v>
      </c>
      <c r="U115" s="2">
        <v>350758262000000</v>
      </c>
      <c r="V115" s="2">
        <v>285406257000000</v>
      </c>
      <c r="W115" s="2">
        <v>246964238000000</v>
      </c>
      <c r="X115" s="2">
        <v>205522394000000</v>
      </c>
      <c r="Y115" s="2">
        <v>160108683000000</v>
      </c>
    </row>
    <row r="116">
      <c r="B116" t="str">
        <v>Total Pinjaman Yang Di...</v>
      </c>
      <c r="C116" s="2">
        <v>159409723000000</v>
      </c>
      <c r="D116" s="2">
        <v>129186116000000</v>
      </c>
      <c r="E116" s="2">
        <v>111135742000000</v>
      </c>
      <c r="F116" s="2">
        <v>133346187000000</v>
      </c>
      <c r="H116" s="2">
        <v>129186116000000</v>
      </c>
      <c r="I116" s="2">
        <v>127879804000000</v>
      </c>
      <c r="J116" s="2">
        <v>98850813000000</v>
      </c>
      <c r="K116" s="2">
        <v>79371200000000</v>
      </c>
      <c r="L116" s="2">
        <v>68458547000000</v>
      </c>
      <c r="M116" s="2">
        <v>35968985000000</v>
      </c>
      <c r="N116" s="2">
        <v>30921771000000</v>
      </c>
      <c r="O116" s="2">
        <v>40457429000000</v>
      </c>
      <c r="P116" s="2">
        <v>29403009000000</v>
      </c>
      <c r="Q116" s="2">
        <v>35008170000000</v>
      </c>
      <c r="R116" s="2">
        <v>35480358000000</v>
      </c>
      <c r="S116" s="2">
        <v>24986862000000</v>
      </c>
      <c r="T116" s="2">
        <v>9084913000000</v>
      </c>
      <c r="U116" s="2">
        <v>10888755000000</v>
      </c>
      <c r="V116" s="2">
        <v>13097916000000</v>
      </c>
      <c r="W116" s="2">
        <v>9454545000000</v>
      </c>
      <c r="X116" s="2">
        <v>13611399000000</v>
      </c>
      <c r="Y116" s="2">
        <v>3356495000000</v>
      </c>
    </row>
    <row r="117">
      <c r="B117" t="str">
        <v>Total Pinjaman Yang Dib...</v>
      </c>
      <c r="C117" s="2">
        <v>1416765322000000</v>
      </c>
      <c r="D117" s="2">
        <v>1381400799000000</v>
      </c>
      <c r="E117" s="2">
        <v>1302033640000000</v>
      </c>
      <c r="F117" s="2">
        <v>1279988223000000</v>
      </c>
      <c r="H117" s="2">
        <v>1381400799000000</v>
      </c>
      <c r="I117" s="2">
        <v>1221415200000000</v>
      </c>
      <c r="J117" s="2">
        <v>1130653684000000</v>
      </c>
      <c r="K117" s="2">
        <v>990950989000000</v>
      </c>
      <c r="L117" s="2">
        <v>909582789000000</v>
      </c>
      <c r="M117" s="2">
        <v>834293205000000</v>
      </c>
      <c r="N117" s="2">
        <v>839067353000000</v>
      </c>
      <c r="O117" s="2">
        <v>784992175000000</v>
      </c>
      <c r="P117" s="2">
        <v>689559288000000</v>
      </c>
      <c r="Q117" s="2">
        <v>621286679000000</v>
      </c>
      <c r="R117" s="2">
        <v>547318355000000</v>
      </c>
      <c r="S117" s="2">
        <v>479211143000000</v>
      </c>
      <c r="T117" s="2">
        <v>419144730000000</v>
      </c>
      <c r="U117" s="2">
        <v>336081042000000</v>
      </c>
      <c r="V117" s="2">
        <v>269454726000000</v>
      </c>
      <c r="W117" s="2">
        <v>232972784000000</v>
      </c>
      <c r="X117" s="2">
        <v>194242503000000</v>
      </c>
      <c r="Y117" s="2">
        <v>152217543000000</v>
      </c>
    </row>
    <row r="118">
      <c r="B118" t="str">
        <v>Piutang Sewa Pembiayaan</v>
      </c>
      <c r="C118" s="2">
        <v>4163170000000</v>
      </c>
      <c r="D118" s="2">
        <v>4406157000000</v>
      </c>
      <c r="E118" s="2">
        <v>4866418000000</v>
      </c>
      <c r="F118" s="2">
        <v>5487433000000</v>
      </c>
      <c r="H118" s="2">
        <v>4406157000000</v>
      </c>
      <c r="I118" s="2">
        <v>6433608000000</v>
      </c>
      <c r="J118" s="2">
        <v>7913465000000</v>
      </c>
      <c r="K118" s="2">
        <v>49287917000000</v>
      </c>
      <c r="L118" s="2">
        <v>39291429000000</v>
      </c>
      <c r="M118" s="2">
        <v>3619224000000</v>
      </c>
      <c r="N118" s="2">
        <v>4191596000000</v>
      </c>
      <c r="O118" s="2">
        <v>3409846000000</v>
      </c>
      <c r="P118" s="2">
        <v>2488983000000</v>
      </c>
      <c r="Q118" s="2">
        <v>2200300000000</v>
      </c>
    </row>
    <row r="119">
      <c r="B119" t="str">
        <v>Total Piutang Sewa Pemb...</v>
      </c>
      <c r="C119" s="2">
        <v>3987307000000</v>
      </c>
      <c r="D119" s="2">
        <v>4241235000000</v>
      </c>
      <c r="E119" s="2">
        <v>4664245000000</v>
      </c>
      <c r="F119" s="2">
        <v>5300420000000</v>
      </c>
      <c r="H119" s="2">
        <v>4241235000000</v>
      </c>
      <c r="I119" s="2">
        <v>6268018000000</v>
      </c>
      <c r="J119" s="2">
        <v>7698157000000</v>
      </c>
      <c r="K119" s="2">
        <v>45809969000000</v>
      </c>
      <c r="L119" s="2">
        <v>37706653000000</v>
      </c>
      <c r="M119" s="2">
        <v>3406164000000</v>
      </c>
      <c r="N119" s="2">
        <v>4104096000000</v>
      </c>
      <c r="O119" s="2">
        <v>3321846000000</v>
      </c>
      <c r="P119" s="2">
        <v>2385483000000</v>
      </c>
      <c r="Q119" s="2">
        <v>2070300000000</v>
      </c>
    </row>
    <row r="120">
      <c r="B120" t="str">
        <v>Aset Tetap</v>
      </c>
    </row>
    <row r="121">
      <c r="B121" t="str">
        <v>Total Aset Tetap</v>
      </c>
      <c r="C121" s="2">
        <v>62787438000000</v>
      </c>
      <c r="D121" s="2">
        <v>63294240000000</v>
      </c>
      <c r="E121" s="2">
        <v>62690839000000</v>
      </c>
      <c r="F121" s="2">
        <v>62482964000000</v>
      </c>
      <c r="H121" s="2">
        <v>63294240000000</v>
      </c>
      <c r="I121" s="2">
        <v>62477965000000</v>
      </c>
      <c r="J121" s="2">
        <v>59678119000000</v>
      </c>
      <c r="K121" s="2">
        <v>55216047000000</v>
      </c>
      <c r="L121" s="2">
        <v>47970187000000</v>
      </c>
      <c r="M121" s="2">
        <v>32185160000000</v>
      </c>
      <c r="N121" s="2">
        <v>31432629000000</v>
      </c>
      <c r="O121" s="2">
        <v>26914859000000</v>
      </c>
      <c r="P121" s="2">
        <v>24746306000000</v>
      </c>
      <c r="Q121" s="2">
        <v>24515059000000</v>
      </c>
      <c r="R121" s="2">
        <v>8039280000000</v>
      </c>
      <c r="S121" s="2">
        <v>5917470000000</v>
      </c>
      <c r="T121" s="2">
        <v>3972612000000</v>
      </c>
      <c r="U121" s="2">
        <v>2804366000000</v>
      </c>
      <c r="V121" s="2">
        <v>1852818000000</v>
      </c>
      <c r="W121" s="2">
        <v>1568945000000</v>
      </c>
      <c r="X121" s="2">
        <v>1366212000000</v>
      </c>
      <c r="Y121" s="2">
        <v>1350483000000</v>
      </c>
    </row>
    <row r="122">
      <c r="B122" t="str">
        <v>Aset Pajak Tangguhan</v>
      </c>
      <c r="C122" s="2">
        <v>8316413000000</v>
      </c>
      <c r="D122" s="2">
        <v>8129522000000</v>
      </c>
      <c r="E122" s="2">
        <v>11150487000000</v>
      </c>
      <c r="F122" s="2">
        <v>10921289000000</v>
      </c>
      <c r="H122" s="2">
        <v>8129522000000</v>
      </c>
      <c r="I122" s="2">
        <v>12800660000000</v>
      </c>
      <c r="J122" s="2">
        <v>15605462000000</v>
      </c>
      <c r="K122" s="2">
        <v>18712994000000</v>
      </c>
      <c r="L122" s="2">
        <v>16284898000000</v>
      </c>
      <c r="M122" s="2">
        <v>8313545000000</v>
      </c>
      <c r="N122" s="2">
        <v>4541298000000</v>
      </c>
      <c r="O122" s="2">
        <v>5114653000000</v>
      </c>
      <c r="P122" s="2">
        <v>3270231000000</v>
      </c>
      <c r="Q122" s="2">
        <v>2520930000000</v>
      </c>
      <c r="R122" s="2">
        <v>1983774000000</v>
      </c>
      <c r="S122" s="2">
        <v>1659705000000</v>
      </c>
      <c r="T122" s="2">
        <v>2188506000000</v>
      </c>
      <c r="U122" s="2">
        <v>2024911000000</v>
      </c>
      <c r="V122" s="2">
        <v>2631958000000</v>
      </c>
      <c r="W122" s="2">
        <v>2295101000000</v>
      </c>
      <c r="X122" s="2">
        <v>1915026000000</v>
      </c>
      <c r="Y122" s="2">
        <v>2000076000000</v>
      </c>
    </row>
    <row r="123">
      <c r="B123" t="str">
        <v>Properti Investasi</v>
      </c>
      <c r="C123" s="2">
        <v>17346000000</v>
      </c>
      <c r="D123" s="2">
        <v>19115000000</v>
      </c>
      <c r="H123" s="2">
        <v>19115000000</v>
      </c>
      <c r="I123" s="2">
        <v>197380000000</v>
      </c>
    </row>
    <row r="124">
      <c r="B124" t="str">
        <v>Total Aset</v>
      </c>
      <c r="C124" s="2">
        <v>2249833632000000</v>
      </c>
      <c r="D124" s="2">
        <v>2135371105000000</v>
      </c>
      <c r="E124" s="2">
        <v>2123446818000000</v>
      </c>
      <c r="F124" s="2">
        <v>2106370947000000</v>
      </c>
      <c r="H124" s="2">
        <v>2138936220000000</v>
      </c>
      <c r="I124" s="2">
        <v>1996181938000000</v>
      </c>
      <c r="J124" s="2">
        <v>1968369208000000</v>
      </c>
      <c r="K124" s="2">
        <v>1865639010000000</v>
      </c>
      <c r="L124" s="2">
        <v>1678097734000000</v>
      </c>
      <c r="M124" s="2">
        <v>1511804628000000</v>
      </c>
      <c r="N124" s="2">
        <v>1416758840000000</v>
      </c>
      <c r="O124" s="2">
        <v>1296898292000000</v>
      </c>
      <c r="P124" s="2">
        <v>1126248442000000</v>
      </c>
      <c r="Q124" s="2">
        <v>1003644426000000</v>
      </c>
      <c r="R124" s="2">
        <v>878426312000000</v>
      </c>
      <c r="S124" s="2">
        <v>801955021000000</v>
      </c>
      <c r="T124" s="2">
        <v>626182926000000</v>
      </c>
      <c r="U124" s="2">
        <v>551336790000000</v>
      </c>
      <c r="V124" s="2">
        <v>469899284000000</v>
      </c>
      <c r="W124" s="2">
        <v>404285602000000</v>
      </c>
      <c r="X124" s="2">
        <v>316947029000000</v>
      </c>
      <c r="Y124" s="2">
        <v>246076896000000</v>
      </c>
    </row>
    <row r="125">
      <c r="B125" t="str">
        <v>Liabilitas Dan Ekuitas</v>
      </c>
    </row>
    <row r="126">
      <c r="B126" t="str">
        <v>Liabilitas</v>
      </c>
    </row>
    <row r="127">
      <c r="B127" t="str">
        <v>Liabilitas Segera</v>
      </c>
      <c r="C127" s="2">
        <v>20482662000000</v>
      </c>
      <c r="D127" s="2">
        <v>39818745000000</v>
      </c>
      <c r="E127" s="2">
        <v>26336069000000</v>
      </c>
      <c r="F127" s="2">
        <v>28432361000000</v>
      </c>
      <c r="H127" s="2">
        <v>39818745000000</v>
      </c>
      <c r="I127" s="2">
        <v>36821661000000</v>
      </c>
      <c r="J127" s="2">
        <v>30651807000000</v>
      </c>
      <c r="K127" s="2">
        <v>24910579000000</v>
      </c>
      <c r="L127" s="2">
        <v>18735387000000</v>
      </c>
      <c r="M127" s="2">
        <v>11845910000000</v>
      </c>
      <c r="N127" s="2">
        <v>7549312000000</v>
      </c>
      <c r="O127" s="2">
        <v>8462958000000</v>
      </c>
      <c r="P127" s="2">
        <v>6584201000000</v>
      </c>
      <c r="Q127" s="2">
        <v>5410313000000</v>
      </c>
      <c r="R127" s="2">
        <v>5138562000000</v>
      </c>
      <c r="S127" s="2">
        <v>7043772000000</v>
      </c>
      <c r="T127" s="2">
        <v>5065527000000</v>
      </c>
      <c r="U127" s="2">
        <v>4911852000000</v>
      </c>
      <c r="V127" s="2">
        <v>3961640000000</v>
      </c>
      <c r="W127" s="2">
        <v>4123639000000</v>
      </c>
      <c r="X127" s="2">
        <v>4333232000000</v>
      </c>
      <c r="Y127" s="2">
        <v>5620911000000</v>
      </c>
    </row>
    <row r="128">
      <c r="B128" t="str">
        <v>Simpanan Nasabah</v>
      </c>
      <c r="C128" s="2">
        <v>1555124413000000</v>
      </c>
      <c r="D128" s="2">
        <v>1466843839000000</v>
      </c>
      <c r="E128" s="2">
        <v>1474783364000000</v>
      </c>
      <c r="F128" s="2">
        <v>1482119977000000</v>
      </c>
      <c r="H128" s="2">
        <v>1466843839000000</v>
      </c>
      <c r="I128" s="2">
        <v>1365450104000000</v>
      </c>
      <c r="J128" s="2">
        <v>1358328761000000</v>
      </c>
      <c r="K128" s="2">
        <v>1307884013000000</v>
      </c>
      <c r="L128" s="2">
        <v>1138743215000000</v>
      </c>
      <c r="M128" s="2">
        <v>1121102149000000</v>
      </c>
      <c r="N128" s="2">
        <v>1021196659000000</v>
      </c>
      <c r="O128" s="2">
        <v>944268737000000</v>
      </c>
      <c r="P128" s="2">
        <v>841656450000000</v>
      </c>
      <c r="Q128" s="2">
        <v>754526374000000</v>
      </c>
      <c r="R128" s="2">
        <v>668995379000000</v>
      </c>
      <c r="S128" s="2">
        <v>622321846000000</v>
      </c>
      <c r="T128" s="2">
        <v>504281382000000</v>
      </c>
      <c r="U128" s="2">
        <v>450166383000000</v>
      </c>
      <c r="V128" s="2">
        <v>384264345000000</v>
      </c>
      <c r="W128" s="2">
        <v>333652397000000</v>
      </c>
      <c r="X128" s="2">
        <v>255928261000000</v>
      </c>
      <c r="Y128" s="2">
        <v>201537439000000</v>
      </c>
    </row>
    <row r="129">
      <c r="B129" t="str">
        <v>Deposito Berjangka</v>
      </c>
      <c r="C129" s="2">
        <v>496505605000000</v>
      </c>
      <c r="D129" s="2">
        <v>431054307000000</v>
      </c>
      <c r="E129" s="2">
        <v>477160986000000</v>
      </c>
      <c r="F129" s="2">
        <v>511174475000000</v>
      </c>
      <c r="H129" s="2">
        <v>431054307000000</v>
      </c>
      <c r="I129" s="2">
        <v>446468817000000</v>
      </c>
      <c r="J129" s="2">
        <v>484258839000000</v>
      </c>
      <c r="K129" s="2">
        <v>435480503000000</v>
      </c>
      <c r="L129" s="2">
        <v>420476279000000</v>
      </c>
      <c r="M129" s="2">
        <v>426399550000000</v>
      </c>
      <c r="N129" s="2">
        <v>413223653000000</v>
      </c>
      <c r="O129" s="2">
        <v>357413513000000</v>
      </c>
      <c r="P129" s="2">
        <v>326417937000000</v>
      </c>
      <c r="Q129" s="2">
        <v>293029378000000</v>
      </c>
      <c r="R129" s="2">
        <v>267884404000000</v>
      </c>
      <c r="S129" s="2">
        <v>283457544000000</v>
      </c>
      <c r="T129" s="2">
        <v>201585766000000</v>
      </c>
      <c r="U129" s="2">
        <v>177267237000000</v>
      </c>
      <c r="V129" s="2">
        <v>146006981000000</v>
      </c>
    </row>
    <row r="130">
      <c r="B130" t="str">
        <v>Total Deposito Berj...</v>
      </c>
      <c r="C130" s="2">
        <v>496505605000000</v>
      </c>
      <c r="D130" s="2">
        <v>431054307000000</v>
      </c>
      <c r="E130" s="2">
        <v>477160986000000</v>
      </c>
      <c r="F130" s="2">
        <v>511174475000000</v>
      </c>
      <c r="H130" s="2">
        <v>431054307000000</v>
      </c>
      <c r="I130" s="2">
        <v>446468817000000</v>
      </c>
      <c r="J130" s="2">
        <v>484258839000000</v>
      </c>
      <c r="K130" s="2">
        <v>435480503000000</v>
      </c>
      <c r="L130" s="2">
        <v>420476279000000</v>
      </c>
      <c r="M130" s="2">
        <v>426399550000000</v>
      </c>
      <c r="N130" s="2">
        <v>413223653000000</v>
      </c>
      <c r="O130" s="2">
        <v>357413513000000</v>
      </c>
      <c r="P130" s="2">
        <v>326417937000000</v>
      </c>
      <c r="Q130" s="2">
        <v>293029378000000</v>
      </c>
      <c r="R130" s="2">
        <v>267884404000000</v>
      </c>
      <c r="S130" s="2">
        <v>283457544000000</v>
      </c>
      <c r="T130" s="2">
        <v>201585766000000</v>
      </c>
      <c r="U130" s="2">
        <v>177267237000000</v>
      </c>
      <c r="V130" s="2">
        <v>146006981000000</v>
      </c>
      <c r="W130" s="2">
        <v>126309586000000</v>
      </c>
      <c r="X130" s="2">
        <v>100034299000000</v>
      </c>
      <c r="Y130" s="2">
        <v>73320676000000</v>
      </c>
    </row>
    <row r="131">
      <c r="B131" t="str">
        <v>Total Simpanan Nasabah</v>
      </c>
      <c r="C131" s="2">
        <v>1555124413000000</v>
      </c>
      <c r="D131" s="2">
        <v>1466843839000000</v>
      </c>
      <c r="E131" s="2">
        <v>1474783364000000</v>
      </c>
      <c r="F131" s="2">
        <v>1482119977000000</v>
      </c>
      <c r="H131" s="2">
        <v>1466843839000000</v>
      </c>
      <c r="I131" s="2">
        <v>1365450104000000</v>
      </c>
      <c r="J131" s="2">
        <v>1358328761000000</v>
      </c>
      <c r="K131" s="2">
        <v>1307884013000000</v>
      </c>
      <c r="L131" s="2">
        <v>1138743215000000</v>
      </c>
      <c r="M131" s="2">
        <v>1121102149000000</v>
      </c>
      <c r="N131" s="2">
        <v>1021196659000000</v>
      </c>
      <c r="O131" s="2">
        <v>944268737000000</v>
      </c>
      <c r="P131" s="2">
        <v>841656450000000</v>
      </c>
      <c r="Q131" s="2">
        <v>754526374000000</v>
      </c>
      <c r="R131" s="2">
        <v>668995379000000</v>
      </c>
      <c r="S131" s="2">
        <v>622321846000000</v>
      </c>
      <c r="T131" s="2">
        <v>504281382000000</v>
      </c>
      <c r="U131" s="2">
        <v>450166383000000</v>
      </c>
      <c r="V131" s="2">
        <v>384264345000000</v>
      </c>
      <c r="W131" s="2">
        <v>333652397000000</v>
      </c>
      <c r="X131" s="2">
        <v>255928261000000</v>
      </c>
      <c r="Y131" s="2">
        <v>201537439000000</v>
      </c>
    </row>
    <row r="132">
      <c r="B132" t="str">
        <v>Liabilitas Derivatif</v>
      </c>
      <c r="C132" s="2">
        <v>1495161000000</v>
      </c>
      <c r="D132" s="2">
        <v>1101753000000</v>
      </c>
      <c r="E132" s="2">
        <v>1856967000000</v>
      </c>
      <c r="F132" s="2">
        <v>607177000000</v>
      </c>
      <c r="H132" s="2">
        <v>1101753000000</v>
      </c>
      <c r="I132" s="2">
        <v>1585120000000</v>
      </c>
      <c r="J132" s="2">
        <v>925210000000</v>
      </c>
      <c r="K132" s="2">
        <v>783921000000</v>
      </c>
      <c r="L132" s="2">
        <v>199695000000</v>
      </c>
      <c r="M132" s="2">
        <v>407774000000</v>
      </c>
      <c r="N132" s="2">
        <v>184605000000</v>
      </c>
      <c r="O132" s="2">
        <v>332343000000</v>
      </c>
      <c r="P132" s="2">
        <v>200858000000</v>
      </c>
      <c r="Q132" s="2">
        <v>347217000000</v>
      </c>
      <c r="R132" s="2">
        <v>445753000000</v>
      </c>
      <c r="S132" s="2">
        <v>717523000000</v>
      </c>
      <c r="T132" s="2">
        <v>1565102000000</v>
      </c>
      <c r="U132" s="2">
        <v>152193000000</v>
      </c>
      <c r="V132" s="2">
        <v>173536000000</v>
      </c>
      <c r="W132" s="2">
        <v>81801000000</v>
      </c>
      <c r="X132" s="2">
        <v>277302000000</v>
      </c>
      <c r="Y132" s="2">
        <v>1313676000000</v>
      </c>
    </row>
    <row r="133">
      <c r="B133" t="str">
        <v>Liabilitas Akseptasi</v>
      </c>
      <c r="C133" s="2">
        <v>9445402000000</v>
      </c>
      <c r="D133" s="2">
        <v>13078567000000</v>
      </c>
      <c r="E133" s="2">
        <v>10931431000000</v>
      </c>
      <c r="F133" s="2">
        <v>11506967000000</v>
      </c>
      <c r="H133" s="2">
        <v>13078567000000</v>
      </c>
      <c r="I133" s="2">
        <v>10105373000000</v>
      </c>
      <c r="J133" s="2">
        <v>10217408000000</v>
      </c>
      <c r="K133" s="2">
        <v>7167600000000</v>
      </c>
      <c r="L133" s="2">
        <v>9554238000000</v>
      </c>
      <c r="M133" s="2">
        <v>6817436000000</v>
      </c>
      <c r="N133" s="2">
        <v>9346064000000</v>
      </c>
      <c r="O133" s="2">
        <v>11643003000000</v>
      </c>
      <c r="P133" s="2">
        <v>5693425000000</v>
      </c>
      <c r="Q133" s="2">
        <v>5692583000000</v>
      </c>
      <c r="R133" s="2">
        <v>5163471000000</v>
      </c>
      <c r="S133" s="2">
        <v>6525688000000</v>
      </c>
      <c r="T133" s="2">
        <v>3679684000000</v>
      </c>
      <c r="U133" s="2">
        <v>4786121000000</v>
      </c>
      <c r="V133" s="2">
        <v>1692176000000</v>
      </c>
      <c r="W133" s="2">
        <v>666878000000</v>
      </c>
      <c r="X133" s="2">
        <v>352716000000</v>
      </c>
      <c r="Y133" s="2">
        <v>483862000000</v>
      </c>
    </row>
    <row r="134">
      <c r="B134" t="str">
        <v>Efek-Efek Yang Diterbitk...</v>
      </c>
      <c r="C134" s="2">
        <v>46645309000000</v>
      </c>
      <c r="D134" s="2">
        <v>40901648000000</v>
      </c>
      <c r="E134" s="2">
        <v>41625186000000</v>
      </c>
      <c r="F134" s="2">
        <v>40012484000000</v>
      </c>
      <c r="H134" s="2">
        <v>40901648000000</v>
      </c>
      <c r="I134" s="2">
        <v>32502499000000</v>
      </c>
      <c r="J134" s="2">
        <v>49637581000000</v>
      </c>
      <c r="K134" s="2">
        <v>63611761000000</v>
      </c>
      <c r="L134" s="2">
        <v>55306697000000</v>
      </c>
      <c r="M134" s="2">
        <v>34489091000000</v>
      </c>
      <c r="N134" s="2">
        <v>38620837000000</v>
      </c>
      <c r="O134" s="2">
        <v>31190216000000</v>
      </c>
      <c r="P134" s="2">
        <v>30619658000000</v>
      </c>
      <c r="Q134" s="2">
        <v>24800781000000</v>
      </c>
      <c r="R134" s="2">
        <v>10521103000000</v>
      </c>
      <c r="S134" s="2">
        <v>8257990000000</v>
      </c>
      <c r="T134" s="2">
        <v>6023133000000</v>
      </c>
    </row>
    <row r="135">
      <c r="B135" t="str">
        <v>Utang Pajak</v>
      </c>
      <c r="C135" s="2">
        <v>3666889000000</v>
      </c>
      <c r="D135" s="2">
        <v>3299310000000</v>
      </c>
      <c r="E135" s="2">
        <v>2645651000000</v>
      </c>
      <c r="F135" s="2">
        <v>2555300000000</v>
      </c>
      <c r="H135" s="2">
        <v>3299310000000</v>
      </c>
      <c r="I135" s="2">
        <v>2150487000000</v>
      </c>
      <c r="J135" s="2">
        <v>2546839000000</v>
      </c>
      <c r="K135" s="2">
        <v>3053782000000</v>
      </c>
      <c r="L135" s="2">
        <v>4214318000000</v>
      </c>
      <c r="M135" s="2">
        <v>1400638000000</v>
      </c>
      <c r="N135" s="2">
        <v>185443000000</v>
      </c>
      <c r="O135" s="2">
        <v>153833000000</v>
      </c>
      <c r="P135" s="2">
        <v>564798000000</v>
      </c>
      <c r="Q135" s="2">
        <v>942401000000</v>
      </c>
      <c r="R135" s="2">
        <v>1497262000000</v>
      </c>
      <c r="S135" s="2">
        <v>59805000000</v>
      </c>
      <c r="T135" s="2">
        <v>1266018000000</v>
      </c>
      <c r="U135" s="2">
        <v>895695000000</v>
      </c>
      <c r="V135" s="2">
        <v>1105997000000</v>
      </c>
      <c r="W135" s="2">
        <v>1930923000000</v>
      </c>
      <c r="X135" s="2">
        <v>343492000000</v>
      </c>
      <c r="Y135" s="2">
        <v>300295000000</v>
      </c>
    </row>
    <row r="136">
      <c r="B136" t="str">
        <v>Pinjaman Yang Diterima</v>
      </c>
      <c r="C136" s="2">
        <v>159409723000000</v>
      </c>
      <c r="D136" s="2">
        <v>129186116000000</v>
      </c>
      <c r="E136" s="2">
        <v>111135742000000</v>
      </c>
      <c r="F136" s="2">
        <v>133346187000000</v>
      </c>
      <c r="H136" s="2">
        <v>129186116000000</v>
      </c>
      <c r="I136" s="2">
        <v>127879804000000</v>
      </c>
      <c r="J136" s="2">
        <v>98850813000000</v>
      </c>
      <c r="K136" s="2">
        <v>79371200000000</v>
      </c>
      <c r="L136" s="2">
        <v>68458547000000</v>
      </c>
      <c r="M136" s="2">
        <v>35968985000000</v>
      </c>
      <c r="N136" s="2">
        <v>30921771000000</v>
      </c>
      <c r="O136" s="2">
        <v>40457429000000</v>
      </c>
      <c r="P136" s="2">
        <v>29403009000000</v>
      </c>
      <c r="Q136" s="2">
        <v>35008170000000</v>
      </c>
      <c r="R136" s="2">
        <v>35480358000000</v>
      </c>
      <c r="S136" s="2">
        <v>24986862000000</v>
      </c>
      <c r="T136" s="2">
        <v>9084913000000</v>
      </c>
      <c r="U136" s="2">
        <v>10888755000000</v>
      </c>
      <c r="V136" s="2">
        <v>13097916000000</v>
      </c>
      <c r="W136" s="2">
        <v>9454545000000</v>
      </c>
      <c r="X136" s="2">
        <v>13611399000000</v>
      </c>
      <c r="Y136" s="2">
        <v>3356495000000</v>
      </c>
    </row>
    <row r="137">
      <c r="B137" t="str">
        <v>Obligasi Subordinasi</v>
      </c>
      <c r="C137" s="2">
        <v>483579000000</v>
      </c>
      <c r="D137" s="2">
        <v>486867000000</v>
      </c>
      <c r="E137" s="2">
        <v>492289000000</v>
      </c>
      <c r="F137" s="2">
        <v>491659000000</v>
      </c>
      <c r="H137" s="2">
        <v>486867000000</v>
      </c>
      <c r="I137" s="2">
        <v>491781000000</v>
      </c>
      <c r="J137" s="2">
        <v>496683000000</v>
      </c>
      <c r="K137" s="2">
        <v>501988000000</v>
      </c>
      <c r="L137" s="2">
        <v>501375000000</v>
      </c>
      <c r="M137" s="2">
        <v>1465392000000</v>
      </c>
      <c r="N137" s="2">
        <v>1465366000000</v>
      </c>
      <c r="O137" s="2">
        <v>1473515000000</v>
      </c>
      <c r="P137" s="2">
        <v>986450000000</v>
      </c>
      <c r="Q137" s="2">
        <v>1008510000000</v>
      </c>
      <c r="R137" s="2">
        <v>56468000000</v>
      </c>
      <c r="S137" s="2">
        <v>77582000000</v>
      </c>
      <c r="T137" s="2">
        <v>2097024000000</v>
      </c>
      <c r="U137" s="2">
        <v>2116562000000</v>
      </c>
      <c r="V137" s="2">
        <v>2136288000000</v>
      </c>
      <c r="W137" s="2">
        <v>2156181000000</v>
      </c>
      <c r="X137" s="2">
        <v>2678422000000</v>
      </c>
      <c r="Y137" s="2">
        <v>710634000000</v>
      </c>
    </row>
    <row r="138">
      <c r="B138" t="str">
        <v>Total Liabilitas</v>
      </c>
      <c r="C138" s="2">
        <v>1904771578000000</v>
      </c>
      <c r="D138" s="2">
        <v>1804429671000000</v>
      </c>
      <c r="E138" s="2">
        <v>1785548557000000</v>
      </c>
      <c r="F138" s="2">
        <v>1784298684000000</v>
      </c>
      <c r="H138" s="2">
        <v>1804429671000000</v>
      </c>
      <c r="I138" s="2">
        <v>1668871890000000</v>
      </c>
      <c r="J138" s="2">
        <v>1648534888000000</v>
      </c>
      <c r="K138" s="2">
        <v>1562243693000000</v>
      </c>
      <c r="L138" s="2">
        <v>1386310930000000</v>
      </c>
      <c r="M138" s="2">
        <v>1311893252000000</v>
      </c>
      <c r="N138" s="2">
        <v>1207974504000000</v>
      </c>
      <c r="O138" s="2">
        <v>1111622961000000</v>
      </c>
      <c r="P138" s="2">
        <v>958900948000000</v>
      </c>
      <c r="Q138" s="2">
        <v>856831836000000</v>
      </c>
      <c r="R138" s="2">
        <v>765299133000000</v>
      </c>
      <c r="S138" s="2">
        <v>704217592000000</v>
      </c>
      <c r="T138" s="2">
        <v>546855504000000</v>
      </c>
      <c r="U138" s="2">
        <v>486455011000000</v>
      </c>
      <c r="V138" s="2">
        <v>420078955000000</v>
      </c>
      <c r="W138" s="2">
        <v>367612492000000</v>
      </c>
      <c r="X138" s="2">
        <v>289689648000000</v>
      </c>
      <c r="Y138" s="2">
        <v>223720199000000</v>
      </c>
    </row>
    <row r="139">
      <c r="B139" t="str">
        <v>Ekuitas</v>
      </c>
    </row>
    <row r="140">
      <c r="B140" t="str">
        <v>Modal Saham</v>
      </c>
      <c r="C140" s="2">
        <v>7577950000000</v>
      </c>
      <c r="D140" s="2">
        <v>7577950000000</v>
      </c>
      <c r="E140" s="2">
        <v>7577950000000</v>
      </c>
      <c r="F140" s="2">
        <v>7577950000000</v>
      </c>
      <c r="H140" s="2">
        <v>7577950000000</v>
      </c>
      <c r="I140" s="2">
        <v>7577950000000</v>
      </c>
      <c r="J140" s="2">
        <v>7577950000000</v>
      </c>
      <c r="K140" s="2">
        <v>7577950000000</v>
      </c>
      <c r="L140" s="2">
        <v>7577950000000</v>
      </c>
      <c r="M140" s="2">
        <v>6167291000000</v>
      </c>
      <c r="N140" s="2">
        <v>6167291000000</v>
      </c>
      <c r="O140" s="2">
        <v>6167291000000</v>
      </c>
      <c r="P140" s="2">
        <v>6167291000000</v>
      </c>
      <c r="Q140" s="2">
        <v>6167291000000</v>
      </c>
      <c r="R140" s="2">
        <v>6167291000000</v>
      </c>
      <c r="S140" s="2">
        <v>6167291000000</v>
      </c>
      <c r="T140" s="2">
        <v>6167291000000</v>
      </c>
      <c r="U140" s="2">
        <v>6167291000000</v>
      </c>
      <c r="V140" s="2">
        <v>6167291000000</v>
      </c>
      <c r="W140" s="2">
        <v>6167291000000</v>
      </c>
      <c r="X140" s="2">
        <v>6164926000000</v>
      </c>
      <c r="Y140" s="2">
        <v>6162650000000</v>
      </c>
    </row>
    <row r="141">
      <c r="B141" t="str">
        <v>Tambahan Modal Disetor</v>
      </c>
      <c r="C141" s="2">
        <v>75946195000000</v>
      </c>
      <c r="D141" s="2">
        <v>75946195000000</v>
      </c>
      <c r="E141" s="2">
        <v>75891366000000</v>
      </c>
      <c r="F141" s="2">
        <v>75891366000000</v>
      </c>
      <c r="H141" s="2">
        <v>75946195000000</v>
      </c>
      <c r="I141" s="2">
        <v>75880223000000</v>
      </c>
      <c r="J141" s="2">
        <v>75853127000000</v>
      </c>
      <c r="K141" s="2">
        <v>75637083000000</v>
      </c>
      <c r="L141" s="2">
        <v>76242898000000</v>
      </c>
      <c r="M141" s="2">
        <v>3411813000000</v>
      </c>
      <c r="N141" s="2">
        <v>2900994000000</v>
      </c>
      <c r="O141" s="2">
        <v>2692663000000</v>
      </c>
      <c r="P141" s="2">
        <v>2773858000000</v>
      </c>
      <c r="Q141" s="2">
        <v>2773858000000</v>
      </c>
      <c r="R141" s="2">
        <v>2773858000000</v>
      </c>
      <c r="S141" s="2">
        <v>2773858000000</v>
      </c>
      <c r="T141" s="2">
        <v>2773858000000</v>
      </c>
      <c r="U141" s="2">
        <v>2773858000000</v>
      </c>
      <c r="V141" s="2">
        <v>2773858000000</v>
      </c>
      <c r="W141" s="2">
        <v>2773858000000</v>
      </c>
      <c r="X141" s="2">
        <v>2722349000000</v>
      </c>
      <c r="Y141" s="2">
        <v>2706137000000</v>
      </c>
    </row>
    <row r="142">
      <c r="B142" t="str">
        <v>Saldo Laba</v>
      </c>
      <c r="C142" s="2">
        <v>238156088000000</v>
      </c>
      <c r="D142" s="2">
        <v>222663378000000</v>
      </c>
      <c r="E142" s="2">
        <v>227896570000000</v>
      </c>
      <c r="F142" s="2">
        <v>213386725000000</v>
      </c>
      <c r="H142" s="2">
        <v>222663378000000</v>
      </c>
      <c r="I142" s="2">
        <v>218032389000000</v>
      </c>
      <c r="J142" s="2">
        <v>213711422000000</v>
      </c>
      <c r="K142" s="2">
        <v>201169934000000</v>
      </c>
      <c r="L142" s="2">
        <v>185009048000000</v>
      </c>
      <c r="M142" s="2">
        <v>166972167000000</v>
      </c>
      <c r="N142" s="2">
        <v>181327431000000</v>
      </c>
      <c r="O142" s="2">
        <v>163130389000000</v>
      </c>
      <c r="P142" s="2">
        <v>143827697000000</v>
      </c>
      <c r="Q142" s="2">
        <v>125309471000000</v>
      </c>
      <c r="R142" s="2">
        <v>106733021000000</v>
      </c>
      <c r="S142" s="2">
        <v>88761688000000</v>
      </c>
      <c r="T142" s="2">
        <v>70868083000000</v>
      </c>
      <c r="U142" s="2">
        <v>55080238000000</v>
      </c>
      <c r="V142" s="2">
        <v>40019254000000</v>
      </c>
      <c r="W142" s="2">
        <v>27123160000000</v>
      </c>
      <c r="X142" s="2">
        <v>17834694000000</v>
      </c>
      <c r="Y142" s="2">
        <v>13324726000000</v>
      </c>
    </row>
    <row r="143">
      <c r="B143" t="str">
        <v>Telah Ditentukan Peng...</v>
      </c>
      <c r="C143" s="2">
        <v>3022685000000</v>
      </c>
      <c r="D143" s="2">
        <v>3022685000000</v>
      </c>
      <c r="E143" s="2">
        <v>3022685000000</v>
      </c>
      <c r="F143" s="2">
        <v>3022685000000</v>
      </c>
      <c r="H143" s="2">
        <v>3022685000000</v>
      </c>
      <c r="I143" s="2">
        <v>3022685000000</v>
      </c>
      <c r="J143" s="2">
        <v>3022685000000</v>
      </c>
      <c r="K143" s="2">
        <v>3022685000000</v>
      </c>
      <c r="L143" s="2">
        <v>3022685000000</v>
      </c>
      <c r="M143" s="2">
        <v>3022685000000</v>
      </c>
      <c r="N143" s="2">
        <v>3022685000000</v>
      </c>
      <c r="O143" s="2">
        <v>3022685000000</v>
      </c>
      <c r="P143" s="2">
        <v>3022685000000</v>
      </c>
      <c r="Q143" s="2">
        <v>3022685000000</v>
      </c>
      <c r="R143" s="2">
        <v>18115741000000</v>
      </c>
      <c r="S143" s="2">
        <v>15449160000000</v>
      </c>
      <c r="T143" s="2">
        <v>11005528000000</v>
      </c>
      <c r="U143" s="2">
        <v>8412595000000</v>
      </c>
      <c r="V143" s="2">
        <v>8261766000000</v>
      </c>
      <c r="W143" s="2">
        <v>7974956000000</v>
      </c>
      <c r="X143" s="2">
        <v>7024878000000</v>
      </c>
      <c r="Y143" s="2">
        <v>6488625000000</v>
      </c>
    </row>
    <row r="144">
      <c r="B144" t="str">
        <v>Belum Ditentukan Peng...</v>
      </c>
      <c r="C144" s="2">
        <v>235133403000000</v>
      </c>
      <c r="D144" s="2">
        <v>219640693000000</v>
      </c>
      <c r="E144" s="2">
        <v>224873885000000</v>
      </c>
      <c r="F144" s="2">
        <v>210364040000000</v>
      </c>
      <c r="H144" s="2">
        <v>219640693000000</v>
      </c>
      <c r="I144" s="2">
        <v>215009704000000</v>
      </c>
      <c r="J144" s="2">
        <v>210688737000000</v>
      </c>
      <c r="K144" s="2">
        <v>198147249000000</v>
      </c>
      <c r="L144" s="2">
        <v>181986363000000</v>
      </c>
      <c r="M144" s="2">
        <v>163949482000000</v>
      </c>
      <c r="N144" s="2">
        <v>178304746000000</v>
      </c>
      <c r="O144" s="2">
        <v>160107704000000</v>
      </c>
      <c r="P144" s="2">
        <v>140805012000000</v>
      </c>
      <c r="Q144" s="2">
        <v>122286786000000</v>
      </c>
      <c r="R144" s="2">
        <v>88617280000000</v>
      </c>
      <c r="S144" s="2">
        <v>73312528000000</v>
      </c>
      <c r="T144" s="2">
        <v>59862555000000</v>
      </c>
      <c r="U144" s="2">
        <v>46667643000000</v>
      </c>
      <c r="V144" s="2">
        <v>31757488000000</v>
      </c>
      <c r="W144" s="2">
        <v>19148204000000</v>
      </c>
      <c r="X144" s="2">
        <v>10809816000000</v>
      </c>
      <c r="Y144" s="2">
        <v>6836101000000</v>
      </c>
    </row>
    <row r="145">
      <c r="B145" t="str">
        <v>Total Saldo Laba</v>
      </c>
      <c r="C145" s="2">
        <v>238156088000000</v>
      </c>
      <c r="D145" s="2">
        <v>222663378000000</v>
      </c>
      <c r="E145" s="2">
        <v>227896570000000</v>
      </c>
      <c r="F145" s="2">
        <v>213386725000000</v>
      </c>
      <c r="H145" s="2">
        <v>222663378000000</v>
      </c>
      <c r="I145" s="2">
        <v>218032389000000</v>
      </c>
      <c r="J145" s="2">
        <v>213711422000000</v>
      </c>
      <c r="K145" s="2">
        <v>201169934000000</v>
      </c>
      <c r="L145" s="2">
        <v>185009048000000</v>
      </c>
      <c r="M145" s="2">
        <v>166972167000000</v>
      </c>
      <c r="N145" s="2">
        <v>181327431000000</v>
      </c>
      <c r="O145" s="2">
        <v>163130389000000</v>
      </c>
      <c r="P145" s="2">
        <v>143827697000000</v>
      </c>
      <c r="Q145" s="2">
        <v>125309471000000</v>
      </c>
      <c r="R145" s="2">
        <v>106733021000000</v>
      </c>
      <c r="S145" s="2">
        <v>88761688000000</v>
      </c>
      <c r="T145" s="2">
        <v>70868083000000</v>
      </c>
      <c r="U145" s="2">
        <v>55080238000000</v>
      </c>
      <c r="V145" s="2">
        <v>40019254000000</v>
      </c>
      <c r="W145" s="2">
        <v>27123160000000</v>
      </c>
      <c r="X145" s="2">
        <v>17834694000000</v>
      </c>
      <c r="Y145" s="2">
        <v>13324726000000</v>
      </c>
    </row>
    <row r="146">
      <c r="B146" t="str">
        <v>Kepentingan Non Pengenda...</v>
      </c>
      <c r="C146" s="2">
        <v>6858526000000</v>
      </c>
      <c r="D146" s="2">
        <v>6907576000000</v>
      </c>
      <c r="E146" s="2">
        <v>6707443000000</v>
      </c>
      <c r="F146" s="2">
        <v>6570928000000</v>
      </c>
      <c r="H146" s="2">
        <v>6907576000000</v>
      </c>
      <c r="I146" s="2">
        <v>6286665000000</v>
      </c>
      <c r="J146" s="2">
        <v>5108586000000</v>
      </c>
      <c r="K146" s="2">
        <v>4101306000000</v>
      </c>
      <c r="L146" s="2">
        <v>3051821000000</v>
      </c>
      <c r="M146" s="2">
        <v>2533809000000</v>
      </c>
      <c r="N146" s="2">
        <v>2460903000000</v>
      </c>
      <c r="O146" s="2">
        <v>2307788000000</v>
      </c>
      <c r="P146" s="2">
        <v>598677000000</v>
      </c>
      <c r="Q146" s="2">
        <v>391248000000</v>
      </c>
      <c r="R146" s="2">
        <v>294318000000</v>
      </c>
      <c r="S146" s="2">
        <v>177012000000</v>
      </c>
      <c r="T146" s="2">
        <v>163751000000</v>
      </c>
      <c r="U146" s="2">
        <v>75021000000</v>
      </c>
      <c r="V146" s="2">
        <v>45769000000</v>
      </c>
    </row>
    <row r="147">
      <c r="B147" t="str">
        <v>Total Ekuitas</v>
      </c>
      <c r="C147" s="2">
        <v>345062054000000</v>
      </c>
      <c r="D147" s="2">
        <v>330941434000000</v>
      </c>
      <c r="E147" s="2">
        <v>337898261000000</v>
      </c>
      <c r="F147" s="2">
        <v>322072263000000</v>
      </c>
      <c r="H147" s="2">
        <v>330941434000000</v>
      </c>
      <c r="I147" s="2">
        <v>323315016000000</v>
      </c>
      <c r="J147" s="2">
        <v>316472142000000</v>
      </c>
      <c r="K147" s="2">
        <v>303395317000000</v>
      </c>
      <c r="L147" s="2">
        <v>291786804000000</v>
      </c>
      <c r="M147" s="2">
        <v>199911376000000</v>
      </c>
      <c r="N147" s="2">
        <v>208784336000000</v>
      </c>
      <c r="O147" s="2">
        <v>185275331000000</v>
      </c>
      <c r="P147" s="2">
        <v>167347494000000</v>
      </c>
      <c r="Q147" s="2">
        <v>146812590000000</v>
      </c>
      <c r="R147" s="2">
        <v>113127179000000</v>
      </c>
      <c r="S147" s="2">
        <v>97737429000000</v>
      </c>
      <c r="T147" s="2">
        <v>79327422000000</v>
      </c>
      <c r="U147" s="2">
        <v>64881779000000</v>
      </c>
      <c r="V147" s="2">
        <v>49820329000000</v>
      </c>
      <c r="W147" s="2">
        <v>36673110000000</v>
      </c>
      <c r="X147" s="2">
        <v>27257381000000</v>
      </c>
      <c r="Y147" s="2">
        <v>22356697000000</v>
      </c>
    </row>
    <row r="148">
      <c r="B148" t="str">
        <v>Total Liabilitas Dan Ekuitas</v>
      </c>
      <c r="C148" s="2">
        <v>2249833632000000</v>
      </c>
      <c r="D148" s="2">
        <v>2135371105000000</v>
      </c>
      <c r="E148" s="2">
        <v>2123446818000000</v>
      </c>
      <c r="F148" s="2">
        <v>2106370947000000</v>
      </c>
      <c r="H148" s="2">
        <v>2135371105000000</v>
      </c>
      <c r="I148" s="2">
        <v>1992186906000000</v>
      </c>
      <c r="J148" s="2">
        <v>1965007030000000</v>
      </c>
      <c r="K148" s="2">
        <v>1865639010000000</v>
      </c>
      <c r="L148" s="2">
        <v>1678097734000000</v>
      </c>
      <c r="M148" s="2">
        <v>1511804628000000</v>
      </c>
      <c r="N148" s="2">
        <v>1416758840000000</v>
      </c>
      <c r="O148" s="2">
        <v>1296898292000000</v>
      </c>
      <c r="P148" s="2">
        <v>1126248442000000</v>
      </c>
      <c r="Q148" s="2">
        <v>1003644426000000</v>
      </c>
      <c r="R148" s="2">
        <v>878426312000000</v>
      </c>
      <c r="S148" s="2">
        <v>801955021000000</v>
      </c>
      <c r="T148" s="2">
        <v>626182926000000</v>
      </c>
      <c r="U148" s="2">
        <v>551336790000000</v>
      </c>
      <c r="V148" s="2">
        <v>469899284000000</v>
      </c>
      <c r="W148" s="2">
        <v>404285602000000</v>
      </c>
      <c r="X148" s="2">
        <v>316947029000000</v>
      </c>
      <c r="Y148" s="2">
        <v>246076896000000</v>
      </c>
    </row>
    <row r="149">
      <c r="B149" t="str">
        <v>Saham Beredar</v>
      </c>
      <c r="C149" s="2">
        <v>151559001604</v>
      </c>
      <c r="D149" s="2">
        <v>151559001604</v>
      </c>
      <c r="E149" s="2">
        <v>151559001604</v>
      </c>
      <c r="F149" s="2">
        <v>151559001604</v>
      </c>
      <c r="H149" s="2">
        <v>151559001604</v>
      </c>
      <c r="I149" s="2">
        <v>151559001604</v>
      </c>
      <c r="J149" s="2">
        <v>151559001604</v>
      </c>
      <c r="K149" s="2">
        <v>151559001604</v>
      </c>
      <c r="L149" s="2">
        <v>151559001604</v>
      </c>
      <c r="M149" s="2">
        <v>123345810000</v>
      </c>
      <c r="N149" s="2">
        <v>123345810000</v>
      </c>
      <c r="O149" s="2">
        <v>123345810000</v>
      </c>
      <c r="P149" s="2">
        <v>123345810000</v>
      </c>
      <c r="Q149" s="2">
        <v>24669162000</v>
      </c>
      <c r="R149" s="2">
        <v>24669162000</v>
      </c>
      <c r="S149" s="2">
        <v>24669162000</v>
      </c>
      <c r="T149" s="2">
        <v>24669162000</v>
      </c>
      <c r="U149" s="2">
        <v>24669162000</v>
      </c>
      <c r="V149" s="2">
        <v>24669162000</v>
      </c>
      <c r="W149" s="2">
        <v>12334581000</v>
      </c>
      <c r="X149" s="2">
        <v>12329852500</v>
      </c>
      <c r="Y149" s="2">
        <v>12325299500</v>
      </c>
    </row>
    <row r="151">
      <c r="A151" t="str">
        <v>Cash Flow</v>
      </c>
      <c r="B151" t="str">
        <v>Arus Kas Dari Aktivitas Operasi</v>
      </c>
      <c r="C151" s="2">
        <v>50249703000000</v>
      </c>
      <c r="D151" s="2">
        <v>-86072401000000</v>
      </c>
      <c r="E151" s="2">
        <v>24339823000000</v>
      </c>
      <c r="F151" s="2">
        <v>2756065000000</v>
      </c>
      <c r="H151" s="2">
        <v>14617023000000</v>
      </c>
      <c r="I151" s="2">
        <v>24283108000000</v>
      </c>
      <c r="J151" s="2">
        <v>-4971454000000</v>
      </c>
      <c r="K151" s="2">
        <v>97506005000000</v>
      </c>
      <c r="L151" s="2">
        <v>32588374000000</v>
      </c>
      <c r="M151" s="2">
        <v>66689187000000</v>
      </c>
      <c r="N151" s="2">
        <v>44583078000000</v>
      </c>
      <c r="O151" s="2">
        <v>57262380000000</v>
      </c>
      <c r="P151" s="2">
        <v>39299109000000</v>
      </c>
      <c r="Q151" s="2">
        <v>21770833000000</v>
      </c>
      <c r="R151" s="2">
        <v>45544908000000</v>
      </c>
      <c r="S151" s="2">
        <v>75822636000000</v>
      </c>
      <c r="T151" s="2">
        <v>-490456000000</v>
      </c>
      <c r="U151" s="2">
        <v>-24367229000000</v>
      </c>
      <c r="V151" s="2">
        <v>15551390000000</v>
      </c>
      <c r="W151" s="2">
        <v>44813470000000</v>
      </c>
      <c r="X151" s="2">
        <v>1506696000000</v>
      </c>
      <c r="Y151" s="2">
        <v>-15797753000000</v>
      </c>
    </row>
    <row r="152">
      <c r="B152" t="str">
        <v>Penerimaan Bunga, Hasil I...</v>
      </c>
      <c r="S152" s="2">
        <v>75112561000000</v>
      </c>
      <c r="T152" s="2">
        <v>59350676000000</v>
      </c>
      <c r="U152" s="2">
        <v>49830419000000</v>
      </c>
      <c r="V152" s="2">
        <v>47778151000000</v>
      </c>
      <c r="W152" s="2">
        <v>46642900000000</v>
      </c>
      <c r="X152" s="2">
        <v>35065389000000</v>
      </c>
      <c r="Y152" s="2">
        <v>27591162000000</v>
      </c>
    </row>
    <row r="153">
      <c r="B153" t="str">
        <v>Penerimaan Bunga Dan Inv...</v>
      </c>
      <c r="C153" s="2">
        <v>41092667000000</v>
      </c>
      <c r="D153" s="2">
        <v>42205983000000</v>
      </c>
      <c r="E153" s="2">
        <v>50205282000000</v>
      </c>
      <c r="F153" s="2">
        <v>55948399000000</v>
      </c>
      <c r="H153" s="2">
        <v>188133607000000</v>
      </c>
      <c r="I153" s="2">
        <v>191363148000000</v>
      </c>
      <c r="J153" s="2">
        <v>169068778000000</v>
      </c>
      <c r="K153" s="2">
        <v>130501831000000</v>
      </c>
      <c r="L153" s="2">
        <v>140183030000000</v>
      </c>
      <c r="M153" s="2">
        <v>109112566000000</v>
      </c>
      <c r="N153" s="2">
        <v>117464011000000</v>
      </c>
      <c r="O153" s="2">
        <v>102362129000000</v>
      </c>
      <c r="P153" s="2">
        <v>100171404000000</v>
      </c>
      <c r="Q153" s="2">
        <v>91595203000000</v>
      </c>
      <c r="R153" s="2">
        <v>82595882000000</v>
      </c>
    </row>
    <row r="154">
      <c r="B154" t="str">
        <v>Pendapatan Syariah</v>
      </c>
      <c r="C154" s="2">
        <v>3598087000000</v>
      </c>
      <c r="D154" s="2">
        <v>3942152000000</v>
      </c>
      <c r="E154" s="2">
        <v>3939549000000</v>
      </c>
      <c r="F154" s="2">
        <v>3371196000000</v>
      </c>
      <c r="H154" s="2">
        <v>14733244000000</v>
      </c>
      <c r="I154" s="2">
        <v>13891084000000</v>
      </c>
      <c r="J154" s="2">
        <v>12922019000000</v>
      </c>
      <c r="K154" s="2">
        <v>10118043000000</v>
      </c>
      <c r="L154" s="2">
        <v>2358545000000</v>
      </c>
      <c r="M154" s="2">
        <v>4348425000000</v>
      </c>
      <c r="N154" s="2">
        <v>3376547000000</v>
      </c>
      <c r="O154" s="2">
        <v>3124446000000</v>
      </c>
      <c r="P154" s="2">
        <v>2819042000000</v>
      </c>
      <c r="Q154" s="2">
        <v>2636677000000</v>
      </c>
      <c r="R154" s="2">
        <v>2426292000000</v>
      </c>
    </row>
    <row r="155">
      <c r="B155" t="str">
        <v>Pendapatan Premi</v>
      </c>
      <c r="C155" s="2">
        <v>1568522000000</v>
      </c>
      <c r="D155" s="2">
        <v>6349357000000</v>
      </c>
      <c r="E155" s="2">
        <v>11837000000</v>
      </c>
      <c r="F155" s="2">
        <v>-1835257000000</v>
      </c>
      <c r="H155" s="2">
        <v>6383438000000</v>
      </c>
      <c r="I155" s="2">
        <v>8760610000000</v>
      </c>
      <c r="J155" s="2">
        <v>8996516000000</v>
      </c>
      <c r="K155" s="2">
        <v>8936995000000</v>
      </c>
      <c r="L155" s="2">
        <v>6989783000000</v>
      </c>
      <c r="M155" s="2">
        <v>6208716000000</v>
      </c>
      <c r="N155" s="2">
        <v>5373757000000</v>
      </c>
      <c r="O155" s="2">
        <v>4178213000000</v>
      </c>
      <c r="P155" s="2">
        <v>3788965000000</v>
      </c>
      <c r="Q155" s="2">
        <v>2474579000000</v>
      </c>
    </row>
    <row r="156">
      <c r="B156" t="str">
        <v>Pendapatan Penjualan Ema...</v>
      </c>
      <c r="C156" s="2">
        <v>33091824000000</v>
      </c>
      <c r="D156" s="2">
        <v>20259810000000</v>
      </c>
      <c r="E156" s="2">
        <v>14061776000000</v>
      </c>
      <c r="F156" s="2">
        <v>16264138000000</v>
      </c>
      <c r="H156" s="2">
        <v>61566593000000</v>
      </c>
      <c r="I156" s="2">
        <v>18192082000000</v>
      </c>
      <c r="J156" s="2">
        <v>7982888000000</v>
      </c>
    </row>
    <row r="157">
      <c r="B157" t="str">
        <v>Pendapatan Jasa Asuransi</v>
      </c>
      <c r="D157" s="2">
        <v>-6820464000000</v>
      </c>
      <c r="E157" s="2">
        <v>2353755000000</v>
      </c>
      <c r="F157" s="2">
        <v>4466709000000</v>
      </c>
    </row>
    <row r="158">
      <c r="B158" t="str">
        <v>Total Penerimaan Bunga,...</v>
      </c>
      <c r="C158" s="2">
        <v>79351100000000</v>
      </c>
      <c r="D158" s="2">
        <v>65936838000000</v>
      </c>
      <c r="E158" s="2">
        <v>70572199000000</v>
      </c>
      <c r="F158" s="2">
        <v>78215185000000</v>
      </c>
      <c r="H158" s="2">
        <v>270816882000000</v>
      </c>
      <c r="I158" s="2">
        <v>232206924000000</v>
      </c>
      <c r="J158" s="2">
        <v>198970201000000</v>
      </c>
      <c r="K158" s="2">
        <v>149556869000000</v>
      </c>
      <c r="L158" s="2">
        <v>149531358000000</v>
      </c>
      <c r="M158" s="2">
        <v>119669707000000</v>
      </c>
      <c r="N158" s="2">
        <v>126214315000000</v>
      </c>
      <c r="O158" s="2">
        <v>109664788000000</v>
      </c>
      <c r="P158" s="2">
        <v>106779411000000</v>
      </c>
      <c r="Q158" s="2">
        <v>96706459000000</v>
      </c>
      <c r="R158" s="2">
        <v>85022174000000</v>
      </c>
      <c r="S158" s="2">
        <v>75112561000000</v>
      </c>
      <c r="T158" s="2">
        <v>59350676000000</v>
      </c>
      <c r="U158" s="2">
        <v>49830419000000</v>
      </c>
      <c r="V158" s="2">
        <v>47778151000000</v>
      </c>
      <c r="W158" s="2">
        <v>46642900000000</v>
      </c>
      <c r="X158" s="2">
        <v>35065389000000</v>
      </c>
      <c r="Y158" s="2">
        <v>27591162000000</v>
      </c>
    </row>
    <row r="159">
      <c r="B159" t="str">
        <v>Pembayaran Bunga, Beban S...</v>
      </c>
      <c r="S159" s="2">
        <v>-23186044000000</v>
      </c>
      <c r="T159" s="2">
        <v>-14883697000000</v>
      </c>
      <c r="U159" s="2">
        <v>-13147390000000</v>
      </c>
      <c r="V159" s="2">
        <v>-13684909000000</v>
      </c>
      <c r="W159" s="2">
        <v>-11719715000000</v>
      </c>
      <c r="X159" s="2">
        <v>-12296537000000</v>
      </c>
      <c r="Y159" s="2">
        <v>-8317392000000</v>
      </c>
    </row>
    <row r="160">
      <c r="B160" t="str">
        <v>Beban Bunga</v>
      </c>
      <c r="C160" s="2">
        <v>-12463608000000</v>
      </c>
      <c r="D160" s="2">
        <v>-7382063000000</v>
      </c>
      <c r="E160" s="2">
        <v>-16638410000000</v>
      </c>
      <c r="F160" s="2">
        <v>-18970545000000</v>
      </c>
      <c r="H160" s="2">
        <v>-56224677000000</v>
      </c>
      <c r="I160" s="2">
        <v>-56282443000000</v>
      </c>
      <c r="J160" s="2">
        <v>-42461798000000</v>
      </c>
      <c r="K160" s="2">
        <v>-25762613000000</v>
      </c>
      <c r="L160" s="2">
        <v>-28533680000000</v>
      </c>
      <c r="M160" s="2">
        <v>-36190771000000</v>
      </c>
      <c r="N160" s="2">
        <v>-38666742000000</v>
      </c>
      <c r="O160" s="2">
        <v>-32166798000000</v>
      </c>
      <c r="P160" s="2">
        <v>-28319909000000</v>
      </c>
      <c r="Q160" s="2">
        <v>-26038559000000</v>
      </c>
      <c r="R160" s="2">
        <v>-26101932000000</v>
      </c>
    </row>
    <row r="161">
      <c r="B161" t="str">
        <v>Beban Syariah</v>
      </c>
      <c r="C161" s="2">
        <v>-430360000000</v>
      </c>
      <c r="D161" s="2">
        <v>-248188000000</v>
      </c>
      <c r="E161" s="2">
        <v>-377466000000</v>
      </c>
      <c r="F161" s="2">
        <v>-324546000000</v>
      </c>
      <c r="H161" s="2">
        <v>-1252495000000</v>
      </c>
      <c r="I161" s="2">
        <v>-993686000000</v>
      </c>
      <c r="J161" s="2">
        <v>-1161971000000</v>
      </c>
      <c r="K161" s="2">
        <v>-1008042000000</v>
      </c>
      <c r="L161" s="2">
        <v>-1293103000000</v>
      </c>
      <c r="M161" s="2">
        <v>-1531824000000</v>
      </c>
      <c r="N161" s="2">
        <v>-1377133000000</v>
      </c>
      <c r="O161" s="2">
        <v>-1375637000000</v>
      </c>
      <c r="P161" s="2">
        <v>-1241591000000</v>
      </c>
      <c r="Q161" s="2">
        <v>-1035502000000</v>
      </c>
      <c r="R161" s="2">
        <v>-1013170000000</v>
      </c>
    </row>
    <row r="162">
      <c r="B162" t="str">
        <v>Beban Klaim</v>
      </c>
      <c r="C162" s="2">
        <v>-1610085000000</v>
      </c>
      <c r="D162" s="2">
        <v>-4309293000000</v>
      </c>
      <c r="E162" s="2">
        <v>-4975000000</v>
      </c>
      <c r="F162" s="2">
        <v>-387228000000</v>
      </c>
      <c r="H162" s="2">
        <v>-6322597000000</v>
      </c>
      <c r="I162" s="2">
        <v>-5547858000000</v>
      </c>
      <c r="J162" s="2">
        <v>-6549595000000</v>
      </c>
      <c r="K162" s="2">
        <v>-7359672000000</v>
      </c>
      <c r="L162" s="2">
        <v>-5946708000000</v>
      </c>
      <c r="M162" s="2">
        <v>-5327065000000</v>
      </c>
      <c r="N162" s="2">
        <v>-4363029000000</v>
      </c>
      <c r="O162" s="2">
        <v>-3232491000000</v>
      </c>
      <c r="P162" s="2">
        <v>-3403551000000</v>
      </c>
      <c r="Q162" s="2">
        <v>-2410192000000</v>
      </c>
    </row>
    <row r="163">
      <c r="B163" t="str">
        <v>Beban Harga Pokok Penjua...</v>
      </c>
      <c r="C163" s="2">
        <v>-31578036000000</v>
      </c>
      <c r="D163" s="2">
        <v>-19116955000000</v>
      </c>
      <c r="E163" s="2">
        <v>-13665580000000</v>
      </c>
      <c r="F163" s="2">
        <v>-15818849000000</v>
      </c>
      <c r="H163" s="2">
        <v>-59167627000000</v>
      </c>
      <c r="I163" s="2">
        <v>-17488885000000</v>
      </c>
      <c r="J163" s="2">
        <v>-7663244000000</v>
      </c>
    </row>
    <row r="164">
      <c r="B164" t="str">
        <v>Beban Jasa Asuransi</v>
      </c>
      <c r="D164" s="2">
        <v>5870422000000</v>
      </c>
      <c r="E164" s="2">
        <v>-1818603000000</v>
      </c>
      <c r="F164" s="2">
        <v>-4051819000000</v>
      </c>
    </row>
    <row r="165">
      <c r="B165" t="str">
        <v>Total Pembayaran Bunga,...</v>
      </c>
      <c r="C165" s="2">
        <v>-46082089000000</v>
      </c>
      <c r="D165" s="2">
        <v>-25186077000000</v>
      </c>
      <c r="E165" s="2">
        <v>-32505034000000</v>
      </c>
      <c r="F165" s="2">
        <v>-39552987000000</v>
      </c>
      <c r="H165" s="2">
        <v>-122967396000000</v>
      </c>
      <c r="I165" s="2">
        <v>-80312872000000</v>
      </c>
      <c r="J165" s="2">
        <v>-57836608000000</v>
      </c>
      <c r="K165" s="2">
        <v>-34130327000000</v>
      </c>
      <c r="L165" s="2">
        <v>-35773491000000</v>
      </c>
      <c r="M165" s="2">
        <v>-43049660000000</v>
      </c>
      <c r="N165" s="2">
        <v>-44406904000000</v>
      </c>
      <c r="O165" s="2">
        <v>-36774926000000</v>
      </c>
      <c r="P165" s="2">
        <v>-32965051000000</v>
      </c>
      <c r="Q165" s="2">
        <v>-29484253000000</v>
      </c>
      <c r="R165" s="2">
        <v>-27115102000000</v>
      </c>
      <c r="S165" s="2">
        <v>-23186044000000</v>
      </c>
      <c r="T165" s="2">
        <v>-14883697000000</v>
      </c>
      <c r="U165" s="2">
        <v>-13147390000000</v>
      </c>
      <c r="V165" s="2">
        <v>-13684909000000</v>
      </c>
      <c r="W165" s="2">
        <v>-11719715000000</v>
      </c>
      <c r="X165" s="2">
        <v>-12296537000000</v>
      </c>
      <c r="Y165" s="2">
        <v>-8317392000000</v>
      </c>
    </row>
    <row r="166">
      <c r="B166" t="str">
        <v>Penerimaan Kembali Aset Y...</v>
      </c>
      <c r="C166" s="2">
        <v>4326915000000</v>
      </c>
      <c r="D166" s="2">
        <v>5695791000000</v>
      </c>
      <c r="E166" s="2">
        <v>5072764000000</v>
      </c>
      <c r="F166" s="2">
        <v>5212746000000</v>
      </c>
      <c r="H166" s="2">
        <v>20952308000000</v>
      </c>
      <c r="I166" s="2">
        <v>25363951000000</v>
      </c>
      <c r="J166" s="2">
        <v>16833578000000</v>
      </c>
      <c r="K166" s="2">
        <v>12468321000000</v>
      </c>
      <c r="L166" s="2">
        <v>9005760000000</v>
      </c>
      <c r="M166" s="2">
        <v>7239896000000</v>
      </c>
      <c r="N166" s="2">
        <v>7065981000000</v>
      </c>
      <c r="O166" s="2">
        <v>6209437000000</v>
      </c>
      <c r="P166" s="2">
        <v>5050713000000</v>
      </c>
      <c r="Q166" s="2">
        <v>4511717000000</v>
      </c>
      <c r="R166" s="2">
        <v>2353612000000</v>
      </c>
      <c r="S166" s="2">
        <v>2112320000000</v>
      </c>
      <c r="T166" s="2">
        <v>1959521000000</v>
      </c>
      <c r="U166" s="2">
        <v>2284074000000</v>
      </c>
      <c r="V166" s="2">
        <v>1833012000000</v>
      </c>
      <c r="W166" s="2">
        <v>1525143000000</v>
      </c>
      <c r="X166" s="2">
        <v>775150000000</v>
      </c>
      <c r="Y166" s="2">
        <v>473989000000</v>
      </c>
    </row>
    <row r="167">
      <c r="B167" t="str">
        <v>Pendapatan Operasional La...</v>
      </c>
      <c r="C167" s="2">
        <v>8008304000000</v>
      </c>
      <c r="D167" s="2">
        <v>9570145000000</v>
      </c>
      <c r="E167" s="2">
        <v>7552277000000</v>
      </c>
      <c r="F167" s="2">
        <v>7217288000000</v>
      </c>
      <c r="H167" s="2">
        <v>32563546000000</v>
      </c>
      <c r="I167" s="2">
        <v>27775215000000</v>
      </c>
      <c r="J167" s="2">
        <v>29267943000000</v>
      </c>
      <c r="K167" s="2">
        <v>35709608000000</v>
      </c>
      <c r="L167" s="2">
        <v>34345472000000</v>
      </c>
      <c r="M167" s="2">
        <v>25210072000000</v>
      </c>
      <c r="N167" s="2">
        <v>22213637000000</v>
      </c>
      <c r="O167" s="2">
        <v>16764733000000</v>
      </c>
      <c r="P167" s="2">
        <v>13745727000000</v>
      </c>
      <c r="Q167" s="2">
        <v>9333633000000</v>
      </c>
      <c r="R167" s="2">
        <v>9533063000000</v>
      </c>
      <c r="S167" s="2">
        <v>6640745000000</v>
      </c>
      <c r="T167" s="2">
        <v>6842840000000</v>
      </c>
      <c r="U167" s="2">
        <v>5417549000000</v>
      </c>
      <c r="V167" s="2">
        <v>3907886000000</v>
      </c>
      <c r="W167" s="2">
        <v>4019390000000</v>
      </c>
      <c r="X167" s="2">
        <v>3269594000000</v>
      </c>
      <c r="Y167" s="2">
        <v>2787555000000</v>
      </c>
    </row>
    <row r="168">
      <c r="B168" t="str">
        <v>Beban Operasional Lainnya</v>
      </c>
      <c r="C168" s="2">
        <v>-23435058000000</v>
      </c>
      <c r="D168" s="2">
        <v>-15466481000000</v>
      </c>
      <c r="E168" s="2">
        <v>-22438172000000</v>
      </c>
      <c r="F168" s="2">
        <v>-20287592000000</v>
      </c>
      <c r="H168" s="2">
        <v>-80928270000000</v>
      </c>
      <c r="I168" s="2">
        <v>-84973178000000</v>
      </c>
      <c r="J168" s="2">
        <v>-75776851000000</v>
      </c>
      <c r="K168" s="2">
        <v>-78869304000000</v>
      </c>
      <c r="L168" s="2">
        <v>-73658162000000</v>
      </c>
      <c r="M168" s="2">
        <v>-49474810000000</v>
      </c>
      <c r="N168" s="2">
        <v>-46257369000000</v>
      </c>
      <c r="O168" s="2">
        <v>-42230943000000</v>
      </c>
      <c r="P168" s="2">
        <v>-32263843000000</v>
      </c>
      <c r="Q168" s="2">
        <v>-35297823000000</v>
      </c>
      <c r="R168" s="2">
        <v>-25782430000000</v>
      </c>
      <c r="S168" s="2">
        <v>-31213381000000</v>
      </c>
      <c r="T168" s="2">
        <v>-25225142000000</v>
      </c>
      <c r="U168" s="2">
        <v>-23396966000000</v>
      </c>
      <c r="V168" s="2">
        <v>-24292508000000</v>
      </c>
      <c r="W168" s="2">
        <v>-25245930000000</v>
      </c>
      <c r="X168" s="2">
        <v>-17448759000000</v>
      </c>
      <c r="Y168" s="2">
        <v>-14254468000000</v>
      </c>
    </row>
    <row r="169">
      <c r="B169" t="str">
        <v>Pendapatan Non Operasiona...</v>
      </c>
      <c r="C169" s="2">
        <v>-104867000000</v>
      </c>
      <c r="D169" s="2">
        <v>-322789000000</v>
      </c>
      <c r="E169" s="2">
        <v>47539000000</v>
      </c>
      <c r="F169" s="2">
        <v>-35508000000</v>
      </c>
      <c r="H169" s="2">
        <v>-555267000000</v>
      </c>
      <c r="I169" s="2">
        <v>-1108735000000</v>
      </c>
      <c r="J169" s="2">
        <v>-568000000000</v>
      </c>
      <c r="K169" s="2">
        <v>-52531000000</v>
      </c>
      <c r="L169" s="2">
        <v>-203971000000</v>
      </c>
      <c r="M169" s="2">
        <v>-84532000000</v>
      </c>
      <c r="N169" s="2">
        <v>-67880000000</v>
      </c>
      <c r="O169" s="2">
        <v>27818000000</v>
      </c>
      <c r="P169" s="2">
        <v>216325000000</v>
      </c>
      <c r="Q169" s="2">
        <v>479000000</v>
      </c>
      <c r="R169" s="2">
        <v>1959483000000</v>
      </c>
      <c r="S169" s="2">
        <v>2966877000000</v>
      </c>
      <c r="T169" s="2">
        <v>2147065000000</v>
      </c>
      <c r="U169" s="2">
        <v>1162898000000</v>
      </c>
      <c r="V169" s="2">
        <v>1161176000000</v>
      </c>
      <c r="W169" s="2">
        <v>500354000000</v>
      </c>
      <c r="X169" s="2">
        <v>1314297000000</v>
      </c>
      <c r="Y169" s="2">
        <v>472604000000</v>
      </c>
    </row>
    <row r="170">
      <c r="B170" t="str">
        <v>Pembayaran Pajak Penghasi...</v>
      </c>
      <c r="C170" s="2">
        <v>-1904161000000</v>
      </c>
      <c r="D170" s="2">
        <v>-340470000000</v>
      </c>
      <c r="E170" s="2">
        <v>-3722436000000</v>
      </c>
      <c r="F170" s="2">
        <v>-3121673000000</v>
      </c>
      <c r="H170" s="2">
        <v>-10543662000000</v>
      </c>
      <c r="I170" s="2">
        <v>-13742335000000</v>
      </c>
      <c r="J170" s="2">
        <v>-14279292000000</v>
      </c>
      <c r="K170" s="2">
        <v>-15762408000000</v>
      </c>
      <c r="L170" s="2">
        <v>-11164431000000</v>
      </c>
      <c r="M170" s="2">
        <v>-4953877000000</v>
      </c>
      <c r="N170" s="2">
        <v>-9357307000000</v>
      </c>
      <c r="O170" s="2">
        <v>-9668009000000</v>
      </c>
      <c r="P170" s="2">
        <v>-9037947000000</v>
      </c>
      <c r="Q170" s="2">
        <v>-6182996000000</v>
      </c>
      <c r="R170" s="2">
        <v>-7000011000000</v>
      </c>
    </row>
    <row r="171">
      <c r="B171" t="str">
        <v>Adjustment</v>
      </c>
    </row>
    <row r="172">
      <c r="B172" t="str">
        <v>Perubahan Dalam Aset Dan ...</v>
      </c>
    </row>
    <row r="173">
      <c r="B173" t="str">
        <v>(Kenaikan) Penurunan Ase...</v>
      </c>
    </row>
    <row r="174">
      <c r="B174" t="str">
        <v>Penempatan Pada Bank ...</v>
      </c>
      <c r="C174" s="2">
        <v>-870866000000</v>
      </c>
      <c r="D174" s="2">
        <v>305178000000</v>
      </c>
      <c r="E174" s="2">
        <v>-562025000000</v>
      </c>
      <c r="F174" s="2">
        <v>601787000000</v>
      </c>
      <c r="H174" s="2">
        <v>-544175000000</v>
      </c>
      <c r="I174" s="2">
        <v>1273810000000</v>
      </c>
      <c r="J174" s="2">
        <v>-505646000000</v>
      </c>
      <c r="K174" s="2">
        <v>-195110000000</v>
      </c>
      <c r="L174" s="2">
        <v>945891000000</v>
      </c>
      <c r="M174" s="2">
        <v>264550000000</v>
      </c>
      <c r="N174" s="2">
        <v>-2854149000000</v>
      </c>
      <c r="O174" s="2">
        <v>190262000000</v>
      </c>
      <c r="P174" s="2">
        <v>-339187000000</v>
      </c>
      <c r="Q174" s="2">
        <v>100000000000</v>
      </c>
      <c r="R174" s="2">
        <v>-100000000000</v>
      </c>
      <c r="S174" s="2">
        <v>2796000000</v>
      </c>
      <c r="T174" s="2">
        <v>14164442000000</v>
      </c>
      <c r="U174" s="2">
        <v>-35599843000000</v>
      </c>
      <c r="V174" s="2">
        <v>753698000000</v>
      </c>
      <c r="W174" s="2">
        <v>-816714000000</v>
      </c>
      <c r="X174" s="2">
        <v>-17718162000000</v>
      </c>
      <c r="Y174" s="2">
        <v>-8248952000000</v>
      </c>
    </row>
    <row r="175">
      <c r="B175" t="str">
        <v>Efek-Efek Dan Obligas...</v>
      </c>
      <c r="C175" s="2">
        <v>-8041849000000</v>
      </c>
      <c r="D175" s="2">
        <v>1732147000000</v>
      </c>
      <c r="E175" s="2">
        <v>-5064917000000</v>
      </c>
      <c r="F175" s="2">
        <v>5372143000000</v>
      </c>
      <c r="H175" s="2">
        <v>-1594522000000</v>
      </c>
      <c r="I175" s="2">
        <v>-976011000000</v>
      </c>
      <c r="J175" s="2">
        <v>-1277298000000</v>
      </c>
      <c r="K175" s="2">
        <v>-2114619000000</v>
      </c>
      <c r="L175" s="2">
        <v>9164531000000</v>
      </c>
      <c r="M175" s="2">
        <v>-11940401000000</v>
      </c>
      <c r="N175" s="2">
        <v>-12637154000000</v>
      </c>
      <c r="O175" s="2">
        <v>-2566448000000</v>
      </c>
      <c r="P175" s="2">
        <v>-702255000000</v>
      </c>
      <c r="Q175" s="2">
        <v>254367000000</v>
      </c>
      <c r="R175" s="2">
        <v>-800992000000</v>
      </c>
      <c r="S175" s="2">
        <v>882059000000</v>
      </c>
      <c r="T175" s="2">
        <v>-397415000000</v>
      </c>
      <c r="U175" s="2">
        <v>-2987198000000</v>
      </c>
      <c r="V175" s="2">
        <v>-4422876000000</v>
      </c>
      <c r="X175" s="2">
        <v>857613000000</v>
      </c>
      <c r="Y175" s="2">
        <v>-3042849000000</v>
      </c>
    </row>
    <row r="176">
      <c r="B176" t="str">
        <v>Efek Yg Dibeli Dengan...</v>
      </c>
      <c r="W176" s="2">
        <v>-6711511000000</v>
      </c>
    </row>
    <row r="177">
      <c r="B177" t="str">
        <v>Tagihan Wesel Ekspor</v>
      </c>
      <c r="C177" s="2">
        <v>3806686000000</v>
      </c>
      <c r="D177" s="2">
        <v>-3710239000000</v>
      </c>
      <c r="E177" s="2">
        <v>13889567000000</v>
      </c>
      <c r="F177" s="2">
        <v>-5763614000000</v>
      </c>
      <c r="H177" s="2">
        <v>-7595261000000</v>
      </c>
      <c r="I177" s="2">
        <v>13473275000000</v>
      </c>
      <c r="J177" s="2">
        <v>-14828029000000</v>
      </c>
      <c r="K177" s="2">
        <v>-9403150000000</v>
      </c>
      <c r="L177" s="2">
        <v>-2091221000000</v>
      </c>
      <c r="M177" s="2">
        <v>6744495000000</v>
      </c>
      <c r="N177" s="2">
        <v>-6301831000000</v>
      </c>
      <c r="O177" s="2">
        <v>-16788338000000</v>
      </c>
      <c r="P177" s="2">
        <v>3721755000000</v>
      </c>
      <c r="Q177" s="2">
        <v>-2064589000000</v>
      </c>
      <c r="R177" s="2">
        <v>3247102000000</v>
      </c>
      <c r="S177" s="2">
        <v>-1601913000000</v>
      </c>
      <c r="T177" s="2">
        <v>-2991300000000</v>
      </c>
      <c r="U177" s="2">
        <v>-1106203000000</v>
      </c>
      <c r="V177" s="2">
        <v>-4086814000000</v>
      </c>
      <c r="W177" s="2">
        <v>-190585000000</v>
      </c>
      <c r="X177" s="2">
        <v>10537000000</v>
      </c>
      <c r="Y177" s="2">
        <v>34584000000</v>
      </c>
    </row>
    <row r="178">
      <c r="B178" t="str">
        <v>(Kenaikan)/Penurunan ...</v>
      </c>
      <c r="C178" s="2">
        <v>-5698665000000</v>
      </c>
      <c r="D178" s="2">
        <v>743709000000</v>
      </c>
      <c r="E178" s="2">
        <v>2857958000000</v>
      </c>
      <c r="F178" s="2">
        <v>6234252000000</v>
      </c>
      <c r="H178" s="2">
        <v>16821238000000</v>
      </c>
      <c r="I178" s="2">
        <v>16749541000000</v>
      </c>
      <c r="J178" s="2">
        <v>17419447000000</v>
      </c>
      <c r="K178" s="2">
        <v>3900820000000</v>
      </c>
      <c r="L178" s="2">
        <v>-8096930000000</v>
      </c>
      <c r="M178" s="2">
        <v>-24236324000000</v>
      </c>
      <c r="N178" s="2">
        <v>-13185691000000</v>
      </c>
      <c r="O178" s="2">
        <v>8614473000000</v>
      </c>
      <c r="P178" s="2">
        <v>-16453656000000</v>
      </c>
      <c r="Q178" s="2">
        <v>-712245000000</v>
      </c>
      <c r="R178" s="2">
        <v>38158470000000</v>
      </c>
      <c r="S178" s="2">
        <v>-24563532000000</v>
      </c>
      <c r="T178" s="2">
        <v>-4889542000000</v>
      </c>
      <c r="U178" s="2">
        <v>-167223000000</v>
      </c>
      <c r="W178" s="2">
        <v>-1686098000000</v>
      </c>
      <c r="X178" s="2">
        <v>-212145000000</v>
      </c>
      <c r="Y178" s="2">
        <v>-1584097000000</v>
      </c>
    </row>
    <row r="179">
      <c r="B179" t="str">
        <v>Tagihan Derivatif</v>
      </c>
      <c r="S179" s="2">
        <v>4445000000</v>
      </c>
      <c r="T179" s="2">
        <v>23869000000</v>
      </c>
      <c r="U179" s="2">
        <v>-11032000000</v>
      </c>
      <c r="V179" s="2">
        <v>70052000000</v>
      </c>
      <c r="W179" s="2">
        <v>57051000000</v>
      </c>
      <c r="X179" s="2">
        <v>-144908000000</v>
      </c>
      <c r="Y179" s="2">
        <v>24711000000</v>
      </c>
    </row>
    <row r="180">
      <c r="B180" t="str">
        <v>Kredit Yang Diberikan</v>
      </c>
      <c r="C180" s="2">
        <v>-46277318000000</v>
      </c>
      <c r="D180" s="2">
        <v>-91340189000000</v>
      </c>
      <c r="E180" s="2">
        <v>-31814400000000</v>
      </c>
      <c r="F180" s="2">
        <v>-53517263000000</v>
      </c>
      <c r="H180" s="2">
        <v>-203205917000000</v>
      </c>
      <c r="I180" s="2">
        <v>-127686861000000</v>
      </c>
      <c r="J180" s="2">
        <v>-152128249000000</v>
      </c>
      <c r="K180" s="2">
        <v>-106917972000000</v>
      </c>
      <c r="L180" s="2">
        <v>-68377027000000</v>
      </c>
      <c r="M180" s="2">
        <v>-35685632000000</v>
      </c>
      <c r="N180" s="2">
        <v>-74427400000000</v>
      </c>
      <c r="O180" s="2">
        <v>-113206894000000</v>
      </c>
      <c r="P180" s="2">
        <v>-85060312000000</v>
      </c>
      <c r="Q180" s="2">
        <v>-87463887000000</v>
      </c>
      <c r="R180" s="2">
        <v>-77198420000000</v>
      </c>
      <c r="S180" s="2">
        <v>-66400256000000</v>
      </c>
      <c r="T180" s="2">
        <v>-87876065000000</v>
      </c>
      <c r="U180" s="2">
        <v>-69799516000000</v>
      </c>
      <c r="V180" s="2">
        <v>-38442018000000</v>
      </c>
      <c r="W180" s="2">
        <v>-41441844000000</v>
      </c>
      <c r="X180" s="2">
        <v>-45413711000000</v>
      </c>
      <c r="Y180" s="2">
        <v>-49011423000000</v>
      </c>
    </row>
    <row r="181">
      <c r="B181" t="str">
        <v>Pinjaman Syariah</v>
      </c>
      <c r="D181" s="2">
        <v>-10658658000000</v>
      </c>
      <c r="H181" s="2">
        <v>-10658658000000</v>
      </c>
      <c r="I181" s="2">
        <v>-4133183000000</v>
      </c>
    </row>
    <row r="182">
      <c r="B182" t="str">
        <v>Piutang Pembiayaan</v>
      </c>
      <c r="C182" s="2">
        <v>-5097810000000</v>
      </c>
      <c r="D182" s="2">
        <v>8007029000000</v>
      </c>
      <c r="E182" s="2">
        <v>-979113000000</v>
      </c>
      <c r="F182" s="2">
        <v>-1297761000000</v>
      </c>
      <c r="H182" s="2">
        <v>2027451000000</v>
      </c>
      <c r="I182" s="2">
        <v>1479857000000</v>
      </c>
      <c r="J182" s="2">
        <v>-3335688000000</v>
      </c>
      <c r="K182" s="2">
        <v>-1354828000000</v>
      </c>
      <c r="L182" s="2">
        <v>39905977000000</v>
      </c>
      <c r="M182" s="2">
        <v>-13149476000000</v>
      </c>
      <c r="N182" s="2">
        <v>-6025669000000</v>
      </c>
      <c r="O182" s="2">
        <v>-2600698000000</v>
      </c>
      <c r="P182" s="2">
        <v>-258240000000</v>
      </c>
      <c r="Q182" s="2">
        <v>-1254192000000</v>
      </c>
      <c r="R182" s="2">
        <v>-1156677000000</v>
      </c>
      <c r="S182" s="2">
        <v>-1616217000000</v>
      </c>
      <c r="T182" s="2">
        <v>-2785166000000</v>
      </c>
      <c r="U182" s="2">
        <v>-2165254000000</v>
      </c>
      <c r="V182" s="2">
        <v>-3583747000000</v>
      </c>
      <c r="W182" s="2">
        <v>-2924794000000</v>
      </c>
      <c r="X182" s="2">
        <v>-1600765000000</v>
      </c>
      <c r="Y182" s="2">
        <v>134738000000</v>
      </c>
    </row>
    <row r="183">
      <c r="B183" t="str">
        <v>Piutang Sewa Pembiaya...</v>
      </c>
      <c r="C183" s="2">
        <v>242987000000</v>
      </c>
      <c r="D183" s="2">
        <v>-1567190000000</v>
      </c>
      <c r="E183" s="2">
        <v>621015000000</v>
      </c>
      <c r="F183" s="2">
        <v>545194000000</v>
      </c>
      <c r="J183" s="2">
        <v>-5720404000000</v>
      </c>
      <c r="K183" s="2">
        <v>-9996487000000</v>
      </c>
      <c r="L183" s="2">
        <v>-11951573000000</v>
      </c>
      <c r="M183" s="2">
        <v>572372000000</v>
      </c>
      <c r="N183" s="2">
        <v>-803779000000</v>
      </c>
      <c r="O183" s="2">
        <v>-949203000000</v>
      </c>
      <c r="P183" s="2">
        <v>-305667000000</v>
      </c>
      <c r="Q183" s="2">
        <v>-2214946000000</v>
      </c>
    </row>
    <row r="184">
      <c r="B184" t="str">
        <v>Tagihan Akseptasi</v>
      </c>
    </row>
    <row r="185">
      <c r="B185" t="str">
        <v>Aset Pajak Tangguhan</v>
      </c>
    </row>
    <row r="186">
      <c r="B186" t="str">
        <v>Uang Muka Pajak Tahun...</v>
      </c>
    </row>
    <row r="187">
      <c r="B187" t="str">
        <v>Aset Lain-Lain</v>
      </c>
      <c r="C187" s="2">
        <v>27248174000000</v>
      </c>
      <c r="D187" s="2">
        <v>-16898926000000</v>
      </c>
      <c r="E187" s="2">
        <v>1304503000000</v>
      </c>
      <c r="F187" s="2">
        <v>34234491000000</v>
      </c>
      <c r="H187" s="2">
        <v>-1213587000000</v>
      </c>
      <c r="I187" s="2">
        <v>1562240000000</v>
      </c>
      <c r="J187" s="2">
        <v>-16170249000000</v>
      </c>
      <c r="K187" s="2">
        <v>-2941947000000</v>
      </c>
      <c r="L187" s="2">
        <v>1422631000000</v>
      </c>
      <c r="M187" s="2">
        <v>-11322226000000</v>
      </c>
      <c r="N187" s="2">
        <v>6785221000000</v>
      </c>
      <c r="O187" s="2">
        <v>4631594000000</v>
      </c>
      <c r="P187" s="2">
        <v>-11728077000000</v>
      </c>
      <c r="Q187" s="2">
        <v>-662511000000</v>
      </c>
      <c r="R187" s="2">
        <v>-2388153000000</v>
      </c>
      <c r="S187" s="2">
        <v>-1487503000000</v>
      </c>
      <c r="T187" s="2">
        <v>124624000000</v>
      </c>
      <c r="U187" s="2">
        <v>-4014473000000</v>
      </c>
      <c r="V187" s="2">
        <v>-1541889000000</v>
      </c>
      <c r="W187" s="2">
        <v>547943000000</v>
      </c>
      <c r="X187" s="2">
        <v>1541853000000</v>
      </c>
      <c r="Y187" s="2">
        <v>-3373184000000</v>
      </c>
    </row>
    <row r="188">
      <c r="B188" t="str">
        <v>Total (Kenaikan) Penur...</v>
      </c>
      <c r="C188" s="2">
        <v>-34688661000000</v>
      </c>
      <c r="D188" s="2">
        <v>-113387139000000</v>
      </c>
      <c r="E188" s="2">
        <v>-19747412000000</v>
      </c>
      <c r="F188" s="2">
        <v>-13590771000000</v>
      </c>
      <c r="H188" s="2">
        <v>-205963431000000</v>
      </c>
      <c r="I188" s="2">
        <v>-98257332000000</v>
      </c>
      <c r="J188" s="2">
        <v>-176546116000000</v>
      </c>
      <c r="K188" s="2">
        <v>-129023293000000</v>
      </c>
      <c r="L188" s="2">
        <v>-39077721000000</v>
      </c>
      <c r="M188" s="2">
        <v>-88752642000000</v>
      </c>
      <c r="N188" s="2">
        <v>-109450452000000</v>
      </c>
      <c r="O188" s="2">
        <v>-122675252000000</v>
      </c>
      <c r="P188" s="2">
        <v>-111125639000000</v>
      </c>
      <c r="Q188" s="2">
        <v>-94018003000000</v>
      </c>
      <c r="R188" s="2">
        <v>-40238670000000</v>
      </c>
      <c r="S188" s="2">
        <v>-94780121000000</v>
      </c>
      <c r="T188" s="2">
        <v>-84626553000000</v>
      </c>
      <c r="U188" s="2">
        <v>-115850742000000</v>
      </c>
      <c r="V188" s="2">
        <v>-51253594000000</v>
      </c>
      <c r="W188" s="2">
        <v>-53166552000000</v>
      </c>
      <c r="X188" s="2">
        <v>-62679688000000</v>
      </c>
      <c r="Y188" s="2">
        <v>-65066472000000</v>
      </c>
    </row>
    <row r="189">
      <c r="B189" t="str">
        <v>Kenaikan (Penurunan) Lia...</v>
      </c>
    </row>
    <row r="190">
      <c r="B190" t="str">
        <v>Liabilitas Segera</v>
      </c>
      <c r="C190" s="2">
        <v>-19336083000000</v>
      </c>
      <c r="D190" s="2">
        <v>13482676000000</v>
      </c>
      <c r="E190" s="2">
        <v>-2096292000000</v>
      </c>
      <c r="F190" s="2">
        <v>-28606599000000</v>
      </c>
      <c r="H190" s="2">
        <v>2997084000000</v>
      </c>
      <c r="I190" s="2">
        <v>6169854000000</v>
      </c>
      <c r="J190" s="2">
        <v>5741228000000</v>
      </c>
      <c r="K190" s="2">
        <v>6175192000000</v>
      </c>
      <c r="L190" s="2">
        <v>3261813000000</v>
      </c>
      <c r="M190" s="2">
        <v>4296598000000</v>
      </c>
      <c r="N190" s="2">
        <v>-913645000000</v>
      </c>
      <c r="O190" s="2">
        <v>1878757000000</v>
      </c>
      <c r="P190" s="2">
        <v>1153159000000</v>
      </c>
      <c r="Q190" s="2">
        <v>264342000000</v>
      </c>
      <c r="R190" s="2">
        <v>-1899903000000</v>
      </c>
      <c r="S190" s="2">
        <v>1928408000000</v>
      </c>
      <c r="T190" s="2">
        <v>143863000000</v>
      </c>
      <c r="U190" s="2">
        <v>1240892000000</v>
      </c>
      <c r="V190" s="2">
        <v>-167523000000</v>
      </c>
      <c r="W190" s="2">
        <v>560071000000</v>
      </c>
      <c r="X190" s="2">
        <v>-1305607000000</v>
      </c>
      <c r="Y190" s="2">
        <v>1621694000000</v>
      </c>
    </row>
    <row r="191">
      <c r="B191" t="str">
        <v>Simpanan:</v>
      </c>
    </row>
    <row r="192">
      <c r="B192" t="str">
        <v>Giro</v>
      </c>
      <c r="C192" s="2">
        <v>4662669000000</v>
      </c>
      <c r="D192" s="2">
        <v>13132418000000</v>
      </c>
      <c r="E192" s="2">
        <v>20588738000000</v>
      </c>
      <c r="F192" s="2">
        <v>22869438000000</v>
      </c>
      <c r="H192" s="2">
        <v>73649330000000</v>
      </c>
      <c r="I192" s="2">
        <v>28429968000000</v>
      </c>
      <c r="J192" s="2">
        <v>-3631218000000</v>
      </c>
      <c r="K192" s="2">
        <v>129165393000000</v>
      </c>
      <c r="L192" s="2">
        <v>35741846000000</v>
      </c>
      <c r="M192" s="2">
        <v>16325094000000</v>
      </c>
      <c r="N192" s="2">
        <v>-9271846000000</v>
      </c>
      <c r="O192" s="2">
        <v>32568814000000</v>
      </c>
      <c r="P192" s="2">
        <v>4110148000000</v>
      </c>
      <c r="Q192" s="2">
        <v>27989677000000</v>
      </c>
      <c r="R192" s="2">
        <v>23999076000000</v>
      </c>
      <c r="S192" s="2">
        <v>10764203000000</v>
      </c>
      <c r="T192" s="2">
        <v>-385250000000</v>
      </c>
      <c r="U192" s="2">
        <v>3140314000000</v>
      </c>
      <c r="V192" s="2">
        <v>-785798000000</v>
      </c>
      <c r="W192" s="2">
        <v>27083781000000</v>
      </c>
      <c r="X192" s="2">
        <v>10116911000000</v>
      </c>
      <c r="Y192" s="2">
        <v>2727538000000</v>
      </c>
    </row>
    <row r="193">
      <c r="B193" t="str">
        <v>Giro Wadiah</v>
      </c>
      <c r="L193" s="2">
        <v>-6258078000000</v>
      </c>
      <c r="M193" s="2">
        <v>4282336000000</v>
      </c>
      <c r="N193" s="2">
        <v>-256984000000</v>
      </c>
      <c r="O193" s="2">
        <v>510949000000</v>
      </c>
      <c r="P193" s="2">
        <v>639058000000</v>
      </c>
      <c r="Q193" s="2">
        <v>190098000000</v>
      </c>
      <c r="R193" s="2">
        <v>315832000000</v>
      </c>
      <c r="S193" s="2">
        <v>-48974000000</v>
      </c>
      <c r="T193" s="2">
        <v>-913000000</v>
      </c>
      <c r="U193" s="2">
        <v>155971000000</v>
      </c>
      <c r="V193" s="2">
        <v>200050000000</v>
      </c>
      <c r="W193" s="2">
        <v>186482000000</v>
      </c>
      <c r="X193" s="2">
        <v>54298000000</v>
      </c>
      <c r="Y193" s="2">
        <v>33672000000</v>
      </c>
    </row>
    <row r="194">
      <c r="B194" t="str">
        <v>Giro Mudharabah</v>
      </c>
      <c r="O194" s="2">
        <v>153729000000</v>
      </c>
      <c r="P194" s="2">
        <v>139535000000</v>
      </c>
    </row>
    <row r="195">
      <c r="B195" t="str">
        <v>Tabungan</v>
      </c>
      <c r="C195" s="2">
        <v>18166607000000</v>
      </c>
      <c r="D195" s="2">
        <v>25034736000000</v>
      </c>
      <c r="E195" s="2">
        <v>6088138000000</v>
      </c>
      <c r="F195" s="2">
        <v>13126096000000</v>
      </c>
      <c r="H195" s="2">
        <v>43158915000000</v>
      </c>
      <c r="I195" s="2">
        <v>16481397000000</v>
      </c>
      <c r="J195" s="2">
        <v>5297630000000</v>
      </c>
      <c r="K195" s="2">
        <v>24971180000000</v>
      </c>
      <c r="L195" s="2">
        <v>37005372000000</v>
      </c>
      <c r="M195" s="2">
        <v>55098105000000</v>
      </c>
      <c r="N195" s="2">
        <v>25436778000000</v>
      </c>
      <c r="O195" s="2">
        <v>36497967000000</v>
      </c>
      <c r="P195" s="2">
        <v>45310331000000</v>
      </c>
      <c r="Q195" s="2">
        <v>30051541000000</v>
      </c>
      <c r="R195" s="2">
        <v>35336346000000</v>
      </c>
      <c r="S195" s="2">
        <v>22487836000000</v>
      </c>
      <c r="T195" s="2">
        <v>27401097000000</v>
      </c>
      <c r="U195" s="2">
        <v>29838227000000</v>
      </c>
      <c r="V195" s="2">
        <v>27445940000000</v>
      </c>
      <c r="W195" s="2">
        <v>21078783000000</v>
      </c>
      <c r="X195" s="2">
        <v>16282534000000</v>
      </c>
      <c r="Y195" s="2">
        <v>15730375000000</v>
      </c>
    </row>
    <row r="196">
      <c r="B196" t="str">
        <v>Tabungan Wadiah</v>
      </c>
      <c r="L196" s="2">
        <v>-9247604000000</v>
      </c>
      <c r="M196" s="2">
        <v>2295916000000</v>
      </c>
      <c r="N196" s="2">
        <v>1349877000000</v>
      </c>
      <c r="O196" s="2">
        <v>852159000000</v>
      </c>
      <c r="P196" s="2">
        <v>572891000000</v>
      </c>
      <c r="Q196" s="2">
        <v>460832000000</v>
      </c>
      <c r="R196" s="2">
        <v>417270000000</v>
      </c>
      <c r="S196" s="2">
        <v>818105000000</v>
      </c>
      <c r="T196" s="2">
        <v>792076000000</v>
      </c>
      <c r="U196" s="2">
        <v>301754000000</v>
      </c>
      <c r="V196" s="2">
        <v>648497000000</v>
      </c>
      <c r="W196" s="2">
        <v>424427000000</v>
      </c>
      <c r="X196" s="2">
        <v>313800000000</v>
      </c>
    </row>
    <row r="197">
      <c r="B197" t="str">
        <v>Tabungan Mudharab...</v>
      </c>
      <c r="O197" s="2">
        <v>388625000000</v>
      </c>
      <c r="P197" s="2">
        <v>287363000000</v>
      </c>
      <c r="Q197" s="2">
        <v>286923000000</v>
      </c>
      <c r="R197" s="2">
        <v>322382000000</v>
      </c>
      <c r="S197" s="2">
        <v>92428000000</v>
      </c>
      <c r="T197" s="2">
        <v>86103000000</v>
      </c>
      <c r="U197" s="2">
        <v>92495000000</v>
      </c>
      <c r="V197" s="2">
        <v>48785000000</v>
      </c>
      <c r="W197" s="2">
        <v>23274000000</v>
      </c>
      <c r="X197" s="2">
        <v>-209827000000</v>
      </c>
      <c r="Y197" s="2">
        <v>46457000000</v>
      </c>
    </row>
    <row r="198">
      <c r="B198" t="str">
        <v>Deposito Berjangk...</v>
      </c>
      <c r="O198" s="2">
        <v>644468000000</v>
      </c>
      <c r="P198" s="2">
        <v>2682191000000</v>
      </c>
      <c r="Q198" s="2">
        <v>1406950000000</v>
      </c>
      <c r="R198" s="2">
        <v>1855767000000</v>
      </c>
      <c r="S198" s="2">
        <v>2055088000000</v>
      </c>
      <c r="T198" s="2">
        <v>1903357000000</v>
      </c>
      <c r="U198" s="2">
        <v>1113021000000</v>
      </c>
      <c r="V198" s="2">
        <v>3357077000000</v>
      </c>
      <c r="W198" s="2">
        <v>2652102000000</v>
      </c>
      <c r="X198" s="2">
        <v>1119483000000</v>
      </c>
      <c r="Y198" s="2">
        <v>-26107000000</v>
      </c>
    </row>
    <row r="199">
      <c r="B199" t="str">
        <v>Total Simpanan:</v>
      </c>
      <c r="C199" s="2">
        <v>88280574000000</v>
      </c>
      <c r="D199" s="2">
        <v>-7939525000000</v>
      </c>
      <c r="E199" s="2">
        <v>-7336613000000</v>
      </c>
      <c r="F199" s="2">
        <v>60519873000000</v>
      </c>
      <c r="H199" s="2">
        <v>101393735000000</v>
      </c>
      <c r="I199" s="2">
        <v>7121343000000</v>
      </c>
      <c r="J199" s="2">
        <v>50444748000000</v>
      </c>
      <c r="K199" s="2">
        <v>169140797000000</v>
      </c>
      <c r="L199" s="2">
        <v>51318265000000</v>
      </c>
      <c r="M199" s="2">
        <v>91177348000000</v>
      </c>
      <c r="N199" s="2">
        <v>73067964000000</v>
      </c>
      <c r="O199" s="2">
        <v>102612288000000</v>
      </c>
      <c r="P199" s="2">
        <v>87130076000000</v>
      </c>
      <c r="Q199" s="2">
        <v>85530995000000</v>
      </c>
      <c r="R199" s="2">
        <v>46673533000000</v>
      </c>
      <c r="S199" s="2">
        <v>118040464000000</v>
      </c>
      <c r="T199" s="2">
        <v>54114999000000</v>
      </c>
      <c r="U199" s="2">
        <v>65902038000000</v>
      </c>
      <c r="V199" s="2">
        <v>50611945000000</v>
      </c>
      <c r="W199" s="2">
        <v>77724136000000</v>
      </c>
      <c r="X199" s="2">
        <v>54390822000000</v>
      </c>
      <c r="Y199" s="2">
        <v>35937456000000</v>
      </c>
    </row>
    <row r="200">
      <c r="B200" t="str">
        <v>Simpanan Dari Bank La...</v>
      </c>
      <c r="C200" s="2">
        <v>3338240000000</v>
      </c>
      <c r="D200" s="2">
        <v>711599000000</v>
      </c>
      <c r="E200" s="2">
        <v>5928165000000</v>
      </c>
      <c r="F200" s="2">
        <v>347875000000</v>
      </c>
      <c r="H200" s="2">
        <v>2921954000000</v>
      </c>
      <c r="I200" s="2">
        <v>2721163000000</v>
      </c>
      <c r="J200" s="2">
        <v>2623772000000</v>
      </c>
      <c r="K200" s="2">
        <v>-3994882000000</v>
      </c>
      <c r="L200" s="2">
        <v>-10456563000000</v>
      </c>
      <c r="M200" s="2">
        <v>5816167000000</v>
      </c>
      <c r="N200" s="2">
        <v>8838671000000</v>
      </c>
      <c r="O200" s="2">
        <v>3537792000000</v>
      </c>
      <c r="P200" s="2">
        <v>3363829000000</v>
      </c>
      <c r="Q200" s="2">
        <v>-8935535000000</v>
      </c>
      <c r="R200" s="2">
        <v>2509681000000</v>
      </c>
      <c r="S200" s="2">
        <v>4964172000000</v>
      </c>
      <c r="T200" s="2">
        <v>912602000000</v>
      </c>
      <c r="U200" s="2">
        <v>-1245545000000</v>
      </c>
      <c r="V200" s="2">
        <v>-1136152000000</v>
      </c>
      <c r="W200" s="2">
        <v>710408000000</v>
      </c>
      <c r="X200" s="2">
        <v>1021664000000</v>
      </c>
      <c r="Y200" s="2">
        <v>1817211000000</v>
      </c>
    </row>
    <row r="201">
      <c r="B201" t="str">
        <v>Liabilitas Derivatif</v>
      </c>
      <c r="L201" s="2">
        <v>-208079000000</v>
      </c>
      <c r="S201" s="2">
        <v>-847579000000</v>
      </c>
      <c r="T201" s="2">
        <v>1412909000000</v>
      </c>
      <c r="U201" s="2">
        <v>-21343000000</v>
      </c>
      <c r="V201" s="2">
        <v>91734000000</v>
      </c>
      <c r="W201" s="2">
        <v>-195501000000</v>
      </c>
      <c r="X201" s="2">
        <v>-1036374000000</v>
      </c>
      <c r="Y201" s="2">
        <v>1132754000000</v>
      </c>
    </row>
    <row r="202">
      <c r="B202" t="str">
        <v>Efek-Efek Yang Dijual...</v>
      </c>
      <c r="C202" s="2">
        <v>-4419648000000</v>
      </c>
      <c r="D202" s="2">
        <v>-12599244000000</v>
      </c>
      <c r="E202" s="2">
        <v>19520965000000</v>
      </c>
      <c r="F202" s="2">
        <v>-43584321000000</v>
      </c>
      <c r="H202" s="2">
        <v>2889032000000</v>
      </c>
      <c r="I202" s="2">
        <v>5964259000000</v>
      </c>
      <c r="J202" s="2">
        <v>9081866000000</v>
      </c>
      <c r="K202" s="2">
        <v>-19410916000000</v>
      </c>
      <c r="L202" s="2">
        <v>-11070164000000</v>
      </c>
      <c r="M202" s="2">
        <v>-9424266000000</v>
      </c>
      <c r="N202" s="2">
        <v>12523543000000</v>
      </c>
      <c r="O202" s="2">
        <v>25242710000000</v>
      </c>
      <c r="P202" s="2">
        <v>4834286000000</v>
      </c>
      <c r="Q202" s="2">
        <v>-4075560000000</v>
      </c>
      <c r="R202" s="2">
        <v>-4434003000000</v>
      </c>
      <c r="S202" s="2">
        <v>15456092000000</v>
      </c>
      <c r="U202" s="2">
        <v>-102681000000</v>
      </c>
      <c r="V202" s="2">
        <v>-423684000000</v>
      </c>
      <c r="W202" s="2">
        <v>-18099000000</v>
      </c>
      <c r="X202" s="2">
        <v>441712000000</v>
      </c>
      <c r="Y202" s="2">
        <v>71000000</v>
      </c>
    </row>
    <row r="203">
      <c r="B203" t="str">
        <v>Liabilitas Lain-Lain</v>
      </c>
      <c r="C203" s="2">
        <v>-3075863000000</v>
      </c>
      <c r="D203" s="2">
        <v>-6227725000000</v>
      </c>
      <c r="E203" s="2">
        <v>3491873000000</v>
      </c>
      <c r="F203" s="2">
        <v>22764000000</v>
      </c>
      <c r="H203" s="2">
        <v>1040508000000</v>
      </c>
      <c r="I203" s="2">
        <v>-4645149000000</v>
      </c>
      <c r="J203" s="2">
        <v>7072077000000</v>
      </c>
      <c r="K203" s="2">
        <v>5698879000000</v>
      </c>
      <c r="L203" s="2">
        <v>235264000000</v>
      </c>
      <c r="M203" s="2">
        <v>291044000000</v>
      </c>
      <c r="N203" s="2">
        <v>1252567000000</v>
      </c>
      <c r="O203" s="2">
        <v>2673187000000</v>
      </c>
      <c r="P203" s="2">
        <v>2418063000000</v>
      </c>
      <c r="Q203" s="2">
        <v>3417378000000</v>
      </c>
      <c r="R203" s="2">
        <v>3963481000000</v>
      </c>
      <c r="S203" s="2">
        <v>-1371878000000</v>
      </c>
      <c r="T203" s="2">
        <v>-2639539000000</v>
      </c>
      <c r="U203" s="2">
        <v>3559568000000</v>
      </c>
      <c r="V203" s="2">
        <v>1125856000000</v>
      </c>
      <c r="W203" s="2">
        <v>3476865000000</v>
      </c>
      <c r="X203" s="2">
        <v>-4967000000</v>
      </c>
      <c r="Y203" s="2">
        <v>6083000000</v>
      </c>
    </row>
    <row r="204">
      <c r="B204" t="str">
        <v>Total Kenaikan (Penuru...</v>
      </c>
      <c r="C204" s="2">
        <v>64787220000000</v>
      </c>
      <c r="D204" s="2">
        <v>-12572219000000</v>
      </c>
      <c r="E204" s="2">
        <v>19508098000000</v>
      </c>
      <c r="F204" s="2">
        <v>-11300408000000</v>
      </c>
      <c r="H204" s="2">
        <v>111242313000000</v>
      </c>
      <c r="I204" s="2">
        <v>17331470000000</v>
      </c>
      <c r="J204" s="2">
        <v>74963691000000</v>
      </c>
      <c r="K204" s="2">
        <v>157609070000000</v>
      </c>
      <c r="L204" s="2">
        <v>33080536000000</v>
      </c>
      <c r="M204" s="2">
        <v>92156891000000</v>
      </c>
      <c r="N204" s="2">
        <v>94769100000000</v>
      </c>
      <c r="O204" s="2">
        <v>135944734000000</v>
      </c>
      <c r="P204" s="2">
        <v>98899413000000</v>
      </c>
      <c r="Q204" s="2">
        <v>76201620000000</v>
      </c>
      <c r="R204" s="2">
        <v>46812789000000</v>
      </c>
      <c r="S204" s="2">
        <v>138169679000000</v>
      </c>
      <c r="T204" s="2">
        <v>53944834000000</v>
      </c>
      <c r="U204" s="2">
        <v>69332929000000</v>
      </c>
      <c r="V204" s="2">
        <v>50102176000000</v>
      </c>
      <c r="W204" s="2">
        <v>82257880000000</v>
      </c>
      <c r="X204" s="2">
        <v>53507250000000</v>
      </c>
      <c r="Y204" s="2">
        <v>40515269000000</v>
      </c>
    </row>
    <row r="205">
      <c r="B205" t="str">
        <v>Kenaikan Dana Syirkah Te...</v>
      </c>
      <c r="L205" s="2">
        <v>-33496976000000</v>
      </c>
      <c r="M205" s="2">
        <v>8728142000000</v>
      </c>
      <c r="N205" s="2">
        <v>3859957000000</v>
      </c>
    </row>
    <row r="206">
      <c r="B206" t="str">
        <v>Total Perubahan Dalam A...</v>
      </c>
      <c r="C206" s="2">
        <v>30098559000000</v>
      </c>
      <c r="D206" s="2">
        <v>-125959358000000</v>
      </c>
      <c r="E206" s="2">
        <v>-239314000000</v>
      </c>
      <c r="F206" s="2">
        <v>-24891179000000</v>
      </c>
      <c r="H206" s="2">
        <v>-94721118000000</v>
      </c>
      <c r="I206" s="2">
        <v>-80925862000000</v>
      </c>
      <c r="J206" s="2">
        <v>-101582425000000</v>
      </c>
      <c r="K206" s="2">
        <v>28585777000000</v>
      </c>
      <c r="L206" s="2">
        <v>-39494161000000</v>
      </c>
      <c r="M206" s="2">
        <v>12132391000000</v>
      </c>
      <c r="N206" s="2">
        <v>-10821395000000</v>
      </c>
      <c r="O206" s="2">
        <v>13269482000000</v>
      </c>
      <c r="P206" s="2">
        <v>-12226226000000</v>
      </c>
      <c r="Q206" s="2">
        <v>-17816383000000</v>
      </c>
      <c r="R206" s="2">
        <v>6574119000000</v>
      </c>
      <c r="S206" s="2">
        <v>43389558000000</v>
      </c>
      <c r="T206" s="2">
        <v>-30681719000000</v>
      </c>
      <c r="U206" s="2">
        <v>-46517813000000</v>
      </c>
      <c r="V206" s="2">
        <v>-1151418000000</v>
      </c>
      <c r="W206" s="2">
        <v>29091328000000</v>
      </c>
      <c r="X206" s="2">
        <v>-9172438000000</v>
      </c>
      <c r="Y206" s="2">
        <v>-24551203000000</v>
      </c>
    </row>
    <row r="207">
      <c r="B207" t="str">
        <v>Total Arus Kas Dari Aktivitas...</v>
      </c>
      <c r="C207" s="2">
        <v>15105705000000</v>
      </c>
      <c r="D207" s="2">
        <v>16009814000000</v>
      </c>
      <c r="E207" s="2">
        <v>-19934795000000</v>
      </c>
      <c r="F207" s="2">
        <v>-24627251000000</v>
      </c>
      <c r="H207" s="2">
        <v>-42620192000000</v>
      </c>
      <c r="I207" s="2">
        <v>-37462031000000</v>
      </c>
      <c r="J207" s="2">
        <v>-39551225000000</v>
      </c>
      <c r="K207" s="2">
        <v>-10436111000000</v>
      </c>
      <c r="L207" s="2">
        <v>22643854000000</v>
      </c>
      <c r="M207" s="2">
        <v>-19981772000000</v>
      </c>
      <c r="N207" s="2">
        <v>-18085104000000</v>
      </c>
      <c r="O207" s="2">
        <v>-1071548000000</v>
      </c>
      <c r="P207" s="2">
        <v>-10847132000000</v>
      </c>
      <c r="Q207" s="2">
        <v>7081628000000</v>
      </c>
      <c r="R207" s="2">
        <v>1804324000000</v>
      </c>
      <c r="S207" s="2">
        <v>9504649000000</v>
      </c>
      <c r="T207" s="2">
        <v>-2579081000000</v>
      </c>
      <c r="U207" s="2">
        <v>-5848791000000</v>
      </c>
      <c r="V207" s="2">
        <v>-8298910000000</v>
      </c>
      <c r="W207" s="2">
        <v>-7050019000000</v>
      </c>
      <c r="X207" s="2">
        <v>8934646000000</v>
      </c>
      <c r="Y207" s="2">
        <v>-467330000000</v>
      </c>
    </row>
    <row r="208">
      <c r="B208" t="str">
        <v>Arus Kas Dari Aktivitas Investa...</v>
      </c>
      <c r="C208" s="2">
        <v>-8766348000000</v>
      </c>
      <c r="D208" s="2">
        <v>8980831000000</v>
      </c>
      <c r="E208" s="2">
        <v>-42823964000000</v>
      </c>
      <c r="F208" s="2">
        <v>-12660613000000</v>
      </c>
      <c r="H208" s="2">
        <v>-46090581000000</v>
      </c>
      <c r="I208" s="2">
        <v>-188189000000</v>
      </c>
      <c r="J208" s="2">
        <v>-4989092000000</v>
      </c>
      <c r="K208" s="2">
        <v>27227960000000</v>
      </c>
      <c r="L208" s="2">
        <v>-73095605000000</v>
      </c>
      <c r="M208" s="2">
        <v>-116007831000000</v>
      </c>
      <c r="N208" s="2">
        <v>-5188442000000</v>
      </c>
      <c r="O208" s="2">
        <v>-26999124000000</v>
      </c>
      <c r="P208" s="2">
        <v>-30995996000000</v>
      </c>
      <c r="Q208" s="2">
        <v>-3324382000000</v>
      </c>
      <c r="R208" s="2">
        <v>-56704530000000</v>
      </c>
      <c r="S208" s="2">
        <v>-24649614000000</v>
      </c>
      <c r="T208" s="2">
        <v>-7487647000000</v>
      </c>
      <c r="U208" s="2">
        <v>-5496837000000</v>
      </c>
      <c r="V208" s="2">
        <v>-1788462000000</v>
      </c>
      <c r="W208" s="2">
        <v>-505890000000</v>
      </c>
      <c r="X208" s="2">
        <v>-425253000000</v>
      </c>
      <c r="Y208" s="2">
        <v>-636194000000</v>
      </c>
    </row>
    <row r="209">
      <c r="B209" t="str">
        <v>Hasil Penjualan Aset Teta...</v>
      </c>
      <c r="C209" s="2">
        <v>30624000000</v>
      </c>
      <c r="D209" s="2">
        <v>74741000000</v>
      </c>
      <c r="E209" s="2">
        <v>6219000000</v>
      </c>
      <c r="F209" s="2">
        <v>13317000000</v>
      </c>
      <c r="H209" s="2">
        <v>100205000000</v>
      </c>
      <c r="I209" s="2">
        <v>129827000000</v>
      </c>
      <c r="J209" s="2">
        <v>168975000000</v>
      </c>
      <c r="K209" s="2">
        <v>343195000000</v>
      </c>
      <c r="L209" s="2">
        <v>51654000000</v>
      </c>
      <c r="M209" s="2">
        <v>35214000000</v>
      </c>
      <c r="R209" s="2">
        <v>21628000000</v>
      </c>
      <c r="S209" s="2">
        <v>14059000000</v>
      </c>
      <c r="T209" s="2">
        <v>108193000000</v>
      </c>
      <c r="U209" s="2">
        <v>13895000000</v>
      </c>
      <c r="V209" s="2">
        <v>10475000000</v>
      </c>
      <c r="W209" s="2">
        <v>5875000000</v>
      </c>
      <c r="X209" s="2">
        <v>16273000000</v>
      </c>
      <c r="Y209" s="2">
        <v>3295000000</v>
      </c>
    </row>
    <row r="210">
      <c r="B210" t="str">
        <v>Perolehan Aset Tetap</v>
      </c>
      <c r="C210" s="2">
        <v>-1261910000000</v>
      </c>
      <c r="D210" s="2">
        <v>-737026000000</v>
      </c>
      <c r="E210" s="2">
        <v>-1021771000000</v>
      </c>
      <c r="F210" s="2">
        <v>-2086018000000</v>
      </c>
      <c r="H210" s="2">
        <v>-6344276000000</v>
      </c>
      <c r="I210" s="2">
        <v>-10334588000000</v>
      </c>
      <c r="J210" s="2">
        <v>-8177296000000</v>
      </c>
      <c r="K210" s="2">
        <v>-10538233000000</v>
      </c>
      <c r="L210" s="2">
        <v>-8254116000000</v>
      </c>
      <c r="M210" s="2">
        <v>-3129034000000</v>
      </c>
      <c r="N210" s="2">
        <v>-3695364000000</v>
      </c>
      <c r="O210" s="2">
        <v>-1822703000000</v>
      </c>
      <c r="P210" s="2">
        <v>-2006347000000</v>
      </c>
      <c r="Q210" s="2">
        <v>-3653072000000</v>
      </c>
      <c r="R210" s="2">
        <v>-3285398000000</v>
      </c>
      <c r="S210" s="2">
        <v>-3064718000000</v>
      </c>
      <c r="T210" s="2">
        <v>-1947985000000</v>
      </c>
      <c r="U210" s="2">
        <v>-1445290000000</v>
      </c>
      <c r="V210" s="2">
        <v>-601339000000</v>
      </c>
      <c r="W210" s="2">
        <v>-511912000000</v>
      </c>
      <c r="X210" s="2">
        <v>-441550000000</v>
      </c>
      <c r="Y210" s="2">
        <v>-639578000000</v>
      </c>
    </row>
    <row r="211">
      <c r="B211" t="str">
        <v>Penurunan (Penambahan) Ef...</v>
      </c>
      <c r="C211" s="2">
        <v>-7535091000000</v>
      </c>
      <c r="D211" s="2">
        <v>49653005000000</v>
      </c>
      <c r="E211" s="2">
        <v>-41812181000000</v>
      </c>
      <c r="F211" s="2">
        <v>-10747522000000</v>
      </c>
      <c r="N211" s="2">
        <v>-1270825000000</v>
      </c>
      <c r="O211" s="2">
        <v>-25188955000000</v>
      </c>
      <c r="P211" s="2">
        <v>-28918362000000</v>
      </c>
      <c r="Q211" s="2">
        <v>328455000000</v>
      </c>
      <c r="R211" s="2">
        <v>-53441154000000</v>
      </c>
      <c r="S211" s="2">
        <v>-21598976000000</v>
      </c>
      <c r="T211" s="2">
        <v>-5648237000000</v>
      </c>
      <c r="U211" s="2">
        <v>-4065600000000</v>
      </c>
      <c r="V211" s="2">
        <v>-1205082000000</v>
      </c>
    </row>
    <row r="212">
      <c r="B212" t="str">
        <v>Hasil Penjualan Penyertaa...</v>
      </c>
      <c r="V212" s="2">
        <v>7350000000</v>
      </c>
    </row>
    <row r="213">
      <c r="B213" t="str">
        <v>Penambahan Penyertaan Sah...</v>
      </c>
      <c r="I213" s="2">
        <v>-4912000000</v>
      </c>
      <c r="J213" s="2">
        <v>36137000000</v>
      </c>
      <c r="K213" s="2">
        <v>-145649000000</v>
      </c>
      <c r="L213" s="2">
        <v>-315724000000</v>
      </c>
      <c r="M213" s="2">
        <v>-280175000000</v>
      </c>
      <c r="N213" s="2">
        <v>-228110000000</v>
      </c>
      <c r="P213" s="2">
        <v>-71327000000</v>
      </c>
    </row>
    <row r="214">
      <c r="B214" t="str">
        <v>(Kenaikan) Efek-Efek Dan ...</v>
      </c>
      <c r="D214" s="2">
        <v>-40012932000000</v>
      </c>
      <c r="H214" s="2">
        <v>-40012932000000</v>
      </c>
      <c r="I214" s="2">
        <v>9884449000000</v>
      </c>
      <c r="J214" s="2">
        <v>2907520000000</v>
      </c>
      <c r="K214" s="2">
        <v>37424578000000</v>
      </c>
      <c r="L214" s="2">
        <v>-64581768000000</v>
      </c>
      <c r="M214" s="2">
        <v>-112640485000000</v>
      </c>
    </row>
    <row r="215">
      <c r="B215" t="str">
        <v>Penerimaan Dividen</v>
      </c>
      <c r="C215" s="2">
        <v>29000000</v>
      </c>
      <c r="D215" s="2">
        <v>3043000000</v>
      </c>
      <c r="E215" s="2">
        <v>3769000000</v>
      </c>
      <c r="F215" s="2">
        <v>159610000000</v>
      </c>
      <c r="H215" s="2">
        <v>166422000000</v>
      </c>
      <c r="I215" s="2">
        <v>137035000000</v>
      </c>
      <c r="J215" s="2">
        <v>75572000000</v>
      </c>
      <c r="K215" s="2">
        <v>144069000000</v>
      </c>
      <c r="L215" s="2">
        <v>4349000000</v>
      </c>
      <c r="M215" s="2">
        <v>6649000000</v>
      </c>
      <c r="N215" s="2">
        <v>5857000000</v>
      </c>
      <c r="O215" s="2">
        <v>12534000000</v>
      </c>
      <c r="P215" s="2">
        <v>40000000</v>
      </c>
      <c r="Q215" s="2">
        <v>235000000</v>
      </c>
      <c r="R215" s="2">
        <v>394000000</v>
      </c>
      <c r="S215" s="2">
        <v>21000000</v>
      </c>
      <c r="T215" s="2">
        <v>382000000</v>
      </c>
      <c r="U215" s="2">
        <v>158000000</v>
      </c>
      <c r="V215" s="2">
        <v>134000000</v>
      </c>
      <c r="W215" s="2">
        <v>147000000</v>
      </c>
      <c r="X215" s="2">
        <v>24000000</v>
      </c>
      <c r="Y215" s="2">
        <v>89000000</v>
      </c>
    </row>
    <row r="216">
      <c r="B216" t="str">
        <v>Arus Kas Dari Aktivitas Pendana...</v>
      </c>
      <c r="C216" s="2">
        <v>15105705000000</v>
      </c>
      <c r="D216" s="2">
        <v>16009814000000</v>
      </c>
      <c r="E216" s="2">
        <v>-19934795000000</v>
      </c>
      <c r="F216" s="2">
        <v>-24627251000000</v>
      </c>
      <c r="H216" s="2">
        <v>-42620192000000</v>
      </c>
      <c r="I216" s="2">
        <v>-37462031000000</v>
      </c>
      <c r="J216" s="2">
        <v>-39551225000000</v>
      </c>
      <c r="K216" s="2">
        <v>-10436111000000</v>
      </c>
      <c r="L216" s="2">
        <v>22643854000000</v>
      </c>
      <c r="M216" s="2">
        <v>-19981772000000</v>
      </c>
      <c r="N216" s="2">
        <v>-18085104000000</v>
      </c>
      <c r="O216" s="2">
        <v>-1071548000000</v>
      </c>
      <c r="P216" s="2">
        <v>-10847132000000</v>
      </c>
      <c r="Q216" s="2">
        <v>7081628000000</v>
      </c>
      <c r="R216" s="2">
        <v>1804324000000</v>
      </c>
      <c r="S216" s="2">
        <v>9504649000000</v>
      </c>
      <c r="T216" s="2">
        <v>-2579081000000</v>
      </c>
      <c r="U216" s="2">
        <v>-5848791000000</v>
      </c>
      <c r="V216" s="2">
        <v>-8298910000000</v>
      </c>
      <c r="W216" s="2">
        <v>-7050019000000</v>
      </c>
      <c r="X216" s="2">
        <v>8934646000000</v>
      </c>
      <c r="Y216" s="2">
        <v>-467330000000</v>
      </c>
    </row>
    <row r="217">
      <c r="B217" t="str">
        <v>(Pembayaran) Penerimaan P...</v>
      </c>
      <c r="C217" s="2">
        <v>30162030000000</v>
      </c>
      <c r="D217" s="2">
        <v>17169137000000</v>
      </c>
      <c r="E217" s="2">
        <v>-21460847000000</v>
      </c>
      <c r="F217" s="2">
        <v>-4576876000000</v>
      </c>
      <c r="H217" s="2">
        <v>1077997000000</v>
      </c>
      <c r="I217" s="2">
        <v>29188564000000</v>
      </c>
      <c r="J217" s="2">
        <v>19360539000000</v>
      </c>
      <c r="K217" s="2">
        <v>11068534000000</v>
      </c>
      <c r="L217" s="2">
        <v>-4229199000000</v>
      </c>
      <c r="M217" s="2">
        <v>4935803000000</v>
      </c>
      <c r="N217" s="2">
        <v>-9592989000000</v>
      </c>
      <c r="O217" s="2">
        <v>10829393000000</v>
      </c>
      <c r="P217" s="2">
        <v>-5663258000000</v>
      </c>
      <c r="Q217" s="2">
        <v>-647350000000</v>
      </c>
      <c r="R217" s="2">
        <v>9930290000000</v>
      </c>
      <c r="S217" s="2">
        <v>15767824000000</v>
      </c>
      <c r="T217" s="2">
        <v>-1803842000000</v>
      </c>
      <c r="U217" s="2">
        <v>-2209161000000</v>
      </c>
      <c r="V217" s="2">
        <v>3643371000000</v>
      </c>
      <c r="W217" s="2">
        <v>-4156854000000</v>
      </c>
      <c r="X217" s="2">
        <v>10254904000000</v>
      </c>
      <c r="Y217" s="2">
        <v>974218000000</v>
      </c>
    </row>
    <row r="218">
      <c r="B218" t="str">
        <v>Pembelian Kembali Saham B...</v>
      </c>
      <c r="D218" s="2">
        <v>-239437000000</v>
      </c>
      <c r="F218" s="2">
        <v>-243097000000</v>
      </c>
      <c r="H218" s="2">
        <v>-488373000000</v>
      </c>
      <c r="I218" s="2">
        <v>-875758000000</v>
      </c>
      <c r="J218" s="2">
        <v>-1382284000000</v>
      </c>
      <c r="K218" s="2">
        <v>-2187544000000</v>
      </c>
      <c r="Q218" s="2">
        <v>-132573000000</v>
      </c>
      <c r="R218" s="2">
        <v>-2286375000000</v>
      </c>
    </row>
    <row r="219">
      <c r="B219" t="str">
        <v>Kenaikan Efek-Efek Yang D...</v>
      </c>
    </row>
    <row r="220">
      <c r="B220" t="str">
        <v>Penurunan (Kenaikan) Efek...</v>
      </c>
      <c r="V220" s="2">
        <v>-9188909000000</v>
      </c>
      <c r="W220" s="2">
        <v>2506000000</v>
      </c>
      <c r="X220" s="2">
        <v>-503887000000</v>
      </c>
      <c r="Y220" s="2">
        <v>2573610000000</v>
      </c>
    </row>
    <row r="221">
      <c r="B221" t="str">
        <v>Pembagian Laba Untuk Divi...</v>
      </c>
    </row>
    <row r="222">
      <c r="B222" t="str">
        <v>Dividen</v>
      </c>
      <c r="C222" s="2">
        <v>-20632255000000</v>
      </c>
      <c r="D222" s="2">
        <v>-154871000000</v>
      </c>
      <c r="E222" s="2">
        <v>7736000000</v>
      </c>
      <c r="F222" s="2">
        <v>-31396876000000</v>
      </c>
      <c r="H222" s="2">
        <v>-51881643000000</v>
      </c>
      <c r="I222" s="2">
        <v>-48102283000000</v>
      </c>
      <c r="J222" s="2">
        <v>-43494766000000</v>
      </c>
      <c r="K222" s="2">
        <v>-26406603000000</v>
      </c>
      <c r="L222" s="2">
        <v>-12125589000000</v>
      </c>
      <c r="M222" s="2">
        <v>-20623565000000</v>
      </c>
      <c r="N222" s="2">
        <v>-16175565000000</v>
      </c>
      <c r="O222" s="2">
        <v>-13048441000000</v>
      </c>
      <c r="P222" s="2">
        <v>-10483777000000</v>
      </c>
      <c r="Q222" s="2">
        <v>-7621316000000</v>
      </c>
      <c r="R222" s="2">
        <v>-7273684000000</v>
      </c>
      <c r="S222" s="2">
        <v>-6350262000000</v>
      </c>
      <c r="T222" s="2">
        <v>-5556285000000</v>
      </c>
      <c r="U222" s="2">
        <v>-3619905000000</v>
      </c>
      <c r="V222" s="2">
        <v>-2753372000000</v>
      </c>
      <c r="W222" s="2">
        <v>-2414327000000</v>
      </c>
      <c r="X222" s="2">
        <v>-2798324000000</v>
      </c>
      <c r="Y222" s="2">
        <v>-2612520000000</v>
      </c>
    </row>
    <row r="223">
      <c r="B223" t="str">
        <v>Pkbl</v>
      </c>
    </row>
    <row r="224">
      <c r="B224" t="str">
        <v>Total Pembagian Laba Un...</v>
      </c>
      <c r="C224" s="2">
        <v>-20632255000000</v>
      </c>
      <c r="D224" s="2">
        <v>-154871000000</v>
      </c>
      <c r="E224" s="2">
        <v>7736000000</v>
      </c>
      <c r="F224" s="2">
        <v>-31396876000000</v>
      </c>
      <c r="H224" s="2">
        <v>-51881643000000</v>
      </c>
      <c r="I224" s="2">
        <v>-48102283000000</v>
      </c>
      <c r="J224" s="2">
        <v>-43494766000000</v>
      </c>
      <c r="K224" s="2">
        <v>-26406603000000</v>
      </c>
      <c r="L224" s="2">
        <v>-12125589000000</v>
      </c>
      <c r="M224" s="2">
        <v>-20623565000000</v>
      </c>
      <c r="N224" s="2">
        <v>-16175565000000</v>
      </c>
      <c r="O224" s="2">
        <v>-13048441000000</v>
      </c>
      <c r="P224" s="2">
        <v>-10483777000000</v>
      </c>
      <c r="Q224" s="2">
        <v>-7621316000000</v>
      </c>
      <c r="R224" s="2">
        <v>-7273684000000</v>
      </c>
      <c r="S224" s="2">
        <v>-6350262000000</v>
      </c>
      <c r="T224" s="2">
        <v>-5556285000000</v>
      </c>
      <c r="U224" s="2">
        <v>-3619905000000</v>
      </c>
      <c r="V224" s="2">
        <v>-2753372000000</v>
      </c>
      <c r="W224" s="2">
        <v>-2414327000000</v>
      </c>
      <c r="X224" s="2">
        <v>-2798324000000</v>
      </c>
      <c r="Y224" s="2">
        <v>-2612520000000</v>
      </c>
    </row>
    <row r="225">
      <c r="B225" t="str">
        <v>Kenaikan (Penurunan) Tamb...</v>
      </c>
      <c r="W225" s="2">
        <v>38532000000</v>
      </c>
      <c r="X225" s="2">
        <v>11889000000</v>
      </c>
      <c r="Y225" s="2">
        <v>23231000000</v>
      </c>
    </row>
    <row r="226">
      <c r="B226" t="str">
        <v>Kenaikan (Penurunan) Moda...</v>
      </c>
      <c r="W226" s="2">
        <v>2365000000</v>
      </c>
      <c r="X226" s="2">
        <v>2276000000</v>
      </c>
      <c r="Y226" s="2">
        <v>3750000000</v>
      </c>
    </row>
    <row r="227">
      <c r="B227" t="str">
        <v>Penambahan Modal Saham</v>
      </c>
      <c r="L227" s="2">
        <v>41059206000000</v>
      </c>
    </row>
    <row r="228">
      <c r="B228" t="str">
        <v>Penerimaan (Pembayaran) P...</v>
      </c>
      <c r="J228" s="2">
        <v>-5858000000</v>
      </c>
      <c r="O228" s="2">
        <v>487065000000</v>
      </c>
      <c r="P228" s="2">
        <v>-22060000000</v>
      </c>
      <c r="Q228" s="2">
        <v>952042000000</v>
      </c>
      <c r="R228" s="2">
        <v>-21114000000</v>
      </c>
      <c r="S228" s="2">
        <v>-2019442000000</v>
      </c>
      <c r="T228" s="2">
        <v>-19538000000</v>
      </c>
      <c r="U228" s="2">
        <v>-19725000000</v>
      </c>
      <c r="W228" s="2">
        <v>-522241000000</v>
      </c>
      <c r="X228" s="2">
        <v>1967788000000</v>
      </c>
      <c r="Y228" s="2">
        <v>-1429619000000</v>
      </c>
    </row>
    <row r="229">
      <c r="B229" t="str">
        <v>Penerimaan (Pembayaran) A...</v>
      </c>
      <c r="C229" s="2">
        <v>7890960000000</v>
      </c>
      <c r="D229" s="2">
        <v>6848691000000</v>
      </c>
      <c r="E229" s="2">
        <v>8120915000000</v>
      </c>
      <c r="F229" s="2">
        <v>13330340000000</v>
      </c>
      <c r="H229" s="2">
        <v>28395963000000</v>
      </c>
      <c r="I229" s="2">
        <v>10905923000000</v>
      </c>
      <c r="J229" s="2">
        <v>14112994000000</v>
      </c>
      <c r="K229" s="2">
        <v>21739525000000</v>
      </c>
      <c r="L229" s="2">
        <v>12547672000000</v>
      </c>
      <c r="M229" s="2">
        <v>1998840000000</v>
      </c>
      <c r="N229" s="2">
        <v>12102950000000</v>
      </c>
      <c r="O229" s="2">
        <v>9600185000000</v>
      </c>
      <c r="P229" s="2">
        <v>10242963000000</v>
      </c>
      <c r="Q229" s="2">
        <v>15510825000000</v>
      </c>
      <c r="R229" s="2">
        <v>1455207000000</v>
      </c>
      <c r="S229" s="2">
        <v>2106529000000</v>
      </c>
      <c r="T229" s="2">
        <v>4800584000000</v>
      </c>
    </row>
    <row r="230">
      <c r="B230" t="str">
        <v>Pembayaran Atas Surat Ber...</v>
      </c>
      <c r="C230" s="2">
        <v>-2315030000000</v>
      </c>
      <c r="D230" s="2">
        <v>-7613706000000</v>
      </c>
      <c r="E230" s="2">
        <v>-6602599000000</v>
      </c>
      <c r="F230" s="2">
        <v>-1740742000000</v>
      </c>
      <c r="H230" s="2">
        <v>-19724136000000</v>
      </c>
      <c r="I230" s="2">
        <v>-28578477000000</v>
      </c>
      <c r="J230" s="2">
        <v>-28141850000000</v>
      </c>
      <c r="K230" s="2">
        <v>-14650023000000</v>
      </c>
      <c r="L230" s="2">
        <v>-14608236000000</v>
      </c>
      <c r="M230" s="2">
        <v>-6292850000000</v>
      </c>
      <c r="N230" s="2">
        <v>-4419500000000</v>
      </c>
      <c r="O230" s="2">
        <v>-8939750000000</v>
      </c>
      <c r="P230" s="2">
        <v>-4921000000000</v>
      </c>
      <c r="Q230" s="2">
        <v>-980000000000</v>
      </c>
    </row>
    <row r="231">
      <c r="B231" t="str">
        <v>Keuntungan Yang Belum Dir...</v>
      </c>
    </row>
    <row r="232">
      <c r="B232" t="str">
        <v>Kenaikan (Penurunan) Bersih Kas...</v>
      </c>
      <c r="C232" s="2">
        <v>56589060000000</v>
      </c>
      <c r="D232" s="2">
        <v>-61081756000000</v>
      </c>
      <c r="E232" s="2">
        <v>-38418936000000</v>
      </c>
      <c r="F232" s="2">
        <v>-34531799000000</v>
      </c>
      <c r="H232" s="2">
        <v>-74093750000000</v>
      </c>
      <c r="I232" s="2">
        <v>-13367112000000</v>
      </c>
      <c r="J232" s="2">
        <v>-49511771000000</v>
      </c>
      <c r="K232" s="2">
        <v>114297854000000</v>
      </c>
      <c r="L232" s="2">
        <v>-17863377000000</v>
      </c>
      <c r="M232" s="2">
        <v>-69300416000000</v>
      </c>
      <c r="N232" s="2">
        <v>21309532000000</v>
      </c>
      <c r="O232" s="2">
        <v>29191708000000</v>
      </c>
      <c r="P232" s="2">
        <v>-2544019000000</v>
      </c>
      <c r="Q232" s="2">
        <v>25528079000000</v>
      </c>
      <c r="R232" s="2">
        <v>-9355298000000</v>
      </c>
      <c r="S232" s="2">
        <v>60677671000000</v>
      </c>
      <c r="T232" s="2">
        <v>-10557184000000</v>
      </c>
      <c r="U232" s="2">
        <v>-35712857000000</v>
      </c>
      <c r="V232" s="2">
        <v>5464018000000</v>
      </c>
      <c r="W232" s="2">
        <v>37257561000000</v>
      </c>
      <c r="X232" s="2">
        <v>10016089000000</v>
      </c>
      <c r="Y232" s="2">
        <v>-16901277000000</v>
      </c>
    </row>
    <row r="233">
      <c r="B233" t="str">
        <v>Kas Dan Setara Kas Awal Periode</v>
      </c>
      <c r="C233" s="2">
        <v>131235715000000</v>
      </c>
      <c r="H233" s="2">
        <v>205328380000000</v>
      </c>
      <c r="I233" s="2">
        <v>218677734000000</v>
      </c>
      <c r="J233" s="2">
        <v>268192168000000</v>
      </c>
      <c r="K233" s="2">
        <v>153924601000000</v>
      </c>
      <c r="L233" s="2">
        <v>171790168000000</v>
      </c>
      <c r="M233" s="2">
        <v>236906429000000</v>
      </c>
      <c r="N233" s="2">
        <v>215757148000000</v>
      </c>
      <c r="O233" s="2">
        <v>186617516000000</v>
      </c>
      <c r="P233" s="2">
        <v>188954879000000</v>
      </c>
      <c r="Q233" s="2">
        <v>163388757000000</v>
      </c>
      <c r="R233" s="2">
        <v>172731255000000</v>
      </c>
      <c r="S233" s="2">
        <v>112050809000000</v>
      </c>
      <c r="T233" s="2">
        <v>119371406000000</v>
      </c>
      <c r="U233" s="2">
        <v>133022240000000</v>
      </c>
      <c r="V233" s="2">
        <v>127522699000000</v>
      </c>
      <c r="W233" s="2">
        <v>81674099000000</v>
      </c>
      <c r="X233" s="2">
        <v>20116129000000</v>
      </c>
      <c r="Y233" s="2">
        <v>37012120000000</v>
      </c>
    </row>
    <row r="234">
      <c r="B234" t="str">
        <v>Penambahan Kas Dari Akuisisi Br...</v>
      </c>
      <c r="C234" s="2">
        <v>-8193000000</v>
      </c>
      <c r="Q234" s="2">
        <v>36764000000</v>
      </c>
    </row>
    <row r="235">
      <c r="B235" t="str">
        <v>Dampak Neto Perubahan Nilai Tuk...</v>
      </c>
      <c r="C235" s="2">
        <v>15238000000</v>
      </c>
      <c r="D235" s="2">
        <v>-15040000000</v>
      </c>
      <c r="E235" s="2">
        <v>38722000000</v>
      </c>
      <c r="F235" s="2">
        <v>-69738000000</v>
      </c>
      <c r="H235" s="2">
        <v>1085000000</v>
      </c>
      <c r="I235" s="2">
        <v>17758000000</v>
      </c>
      <c r="J235" s="2">
        <v>-2663000000</v>
      </c>
      <c r="K235" s="2">
        <v>-30287000000</v>
      </c>
      <c r="L235" s="2">
        <v>-2190000000</v>
      </c>
      <c r="M235" s="2">
        <v>-352878000000</v>
      </c>
      <c r="N235" s="2">
        <v>-160251000000</v>
      </c>
      <c r="O235" s="2">
        <v>-52076000000</v>
      </c>
      <c r="P235" s="2">
        <v>-427000000</v>
      </c>
      <c r="Q235" s="2">
        <v>1279000000</v>
      </c>
      <c r="R235" s="2">
        <v>12800000000</v>
      </c>
      <c r="S235" s="2">
        <v>2775000000</v>
      </c>
      <c r="T235" s="2">
        <v>4369000000</v>
      </c>
      <c r="U235" s="2">
        <v>428800000000</v>
      </c>
      <c r="V235" s="2">
        <v>35523000000</v>
      </c>
      <c r="W235" s="2">
        <v>-42710000000</v>
      </c>
      <c r="X235" s="2">
        <v>-18414000000</v>
      </c>
      <c r="Y235" s="2">
        <v>5286000000</v>
      </c>
    </row>
    <row r="236">
      <c r="B236" t="str">
        <v>Kas Dan Setara Kas Akhir Period...</v>
      </c>
      <c r="C236" s="2">
        <v>187831820000000</v>
      </c>
      <c r="D236" s="2">
        <v>-61096796000000</v>
      </c>
      <c r="E236" s="2">
        <v>-38380214000000</v>
      </c>
      <c r="F236" s="2">
        <v>-34601537000000</v>
      </c>
      <c r="H236" s="2">
        <v>131235715000000</v>
      </c>
      <c r="I236" s="2">
        <v>205328380000000</v>
      </c>
      <c r="J236" s="2">
        <v>218677734000000</v>
      </c>
      <c r="K236" s="2">
        <v>268192168000000</v>
      </c>
      <c r="L236" s="2">
        <v>153924601000000</v>
      </c>
      <c r="M236" s="2">
        <v>167253135000000</v>
      </c>
      <c r="N236" s="2">
        <v>236906429000000</v>
      </c>
      <c r="O236" s="2">
        <v>215757148000000</v>
      </c>
      <c r="P236" s="2">
        <v>186410433000000</v>
      </c>
      <c r="Q236" s="2">
        <v>188954879000000</v>
      </c>
      <c r="R236" s="2">
        <v>163388757000000</v>
      </c>
      <c r="S236" s="2">
        <v>172731255000000</v>
      </c>
      <c r="T236" s="2">
        <v>108818591000000</v>
      </c>
      <c r="U236" s="2">
        <v>97738183000000</v>
      </c>
      <c r="V236" s="2">
        <v>133022240000000</v>
      </c>
      <c r="W236" s="2">
        <v>118888950000000</v>
      </c>
      <c r="X236" s="2">
        <v>30113804000000</v>
      </c>
      <c r="Y236" s="2">
        <v>20116129000000</v>
      </c>
    </row>
    <row r="238">
      <c r="A238" t="str">
        <v>Key Ratio</v>
      </c>
      <c r="B238" t="str">
        <v>Share Outstanding</v>
      </c>
      <c r="C238" t="str">
        <v>151.56 B</v>
      </c>
      <c r="D238" t="str">
        <v>151.56 B</v>
      </c>
      <c r="E238" t="str">
        <v>151.56 B</v>
      </c>
      <c r="F238" t="str">
        <v>151.56 B</v>
      </c>
      <c r="H238" t="str">
        <v>151.56 B</v>
      </c>
      <c r="I238" t="str">
        <v>151.56 B</v>
      </c>
      <c r="J238" t="str">
        <v>151.56 B</v>
      </c>
      <c r="K238" t="str">
        <v>151.56 B</v>
      </c>
      <c r="L238" t="str">
        <v>151.56 B</v>
      </c>
      <c r="M238" t="str">
        <v>123.35 B</v>
      </c>
      <c r="N238" t="str">
        <v>123.35 B</v>
      </c>
      <c r="O238" t="str">
        <v>123.35 B</v>
      </c>
      <c r="P238" t="str">
        <v>123.35 B</v>
      </c>
      <c r="Q238" t="str">
        <v>24.67 B</v>
      </c>
      <c r="R238" t="str">
        <v>24.67 B</v>
      </c>
      <c r="S238" t="str">
        <v>24.67 B</v>
      </c>
      <c r="T238" t="str">
        <v>24.67 B</v>
      </c>
      <c r="U238" t="str">
        <v>24.67 B</v>
      </c>
      <c r="V238" t="str">
        <v>24.67 B</v>
      </c>
      <c r="W238" t="str">
        <v>12.33 B</v>
      </c>
      <c r="X238" t="str">
        <v>12.33 B</v>
      </c>
      <c r="Y238" t="str">
        <v>12.33 B</v>
      </c>
    </row>
    <row r="239">
      <c r="B239" t="str">
        <v>EPS (Quarter)</v>
      </c>
      <c r="C239" t="str">
        <v>102.22</v>
      </c>
      <c r="D239" t="str">
        <v>104.74</v>
      </c>
      <c r="E239" t="str">
        <v>95.69</v>
      </c>
      <c r="F239" t="str">
        <v>83.50</v>
      </c>
    </row>
    <row r="240">
      <c r="B240" t="str">
        <v>PE Ratio (Quarter)</v>
      </c>
      <c r="C240" t="str">
        <v>32.58</v>
      </c>
      <c r="D240" t="str">
        <v>34.94</v>
      </c>
      <c r="E240" t="str">
        <v>40.76</v>
      </c>
      <c r="F240" t="str">
        <v>44.79</v>
      </c>
    </row>
    <row r="241">
      <c r="B241" t="str">
        <v>Price to Sales (Quarter)</v>
      </c>
      <c r="C241" t="str">
        <v>9.55</v>
      </c>
      <c r="D241" t="str">
        <v>10.55</v>
      </c>
      <c r="E241" t="str">
        <v>11.20</v>
      </c>
      <c r="F241" t="str">
        <v>10.79</v>
      </c>
    </row>
    <row r="242">
      <c r="B242" t="str">
        <v>EBITDA (Quarter)</v>
      </c>
      <c r="C242" t="str">
        <v>21,774.65 B</v>
      </c>
      <c r="D242" t="str">
        <v>21,683.13 B</v>
      </c>
      <c r="E242" t="str">
        <v>19,539.54 B</v>
      </c>
      <c r="F242" t="str">
        <v>18,616.63 B</v>
      </c>
    </row>
    <row r="243">
      <c r="B243" t="str">
        <v>Return on Assets (Quarter)</v>
      </c>
      <c r="C243" t="str">
        <v>0.69%</v>
      </c>
      <c r="D243" t="str">
        <v>0.74%</v>
      </c>
      <c r="E243" t="str">
        <v>0.68%</v>
      </c>
      <c r="F243" t="str">
        <v>0.60%</v>
      </c>
    </row>
    <row r="244">
      <c r="B244" t="str">
        <v>Return on Equity (Quarter)</v>
      </c>
      <c r="C244" t="str">
        <v>4.58%</v>
      </c>
      <c r="D244" t="str">
        <v>4.90%</v>
      </c>
      <c r="E244" t="str">
        <v>4.38%</v>
      </c>
      <c r="F244" t="str">
        <v>4.01%</v>
      </c>
    </row>
    <row r="245">
      <c r="B245" t="str">
        <v>Return on Capital Employed (Quarter)</v>
      </c>
      <c r="C245" t="str">
        <v>0.91%</v>
      </c>
      <c r="D245" t="str">
        <v>0.95%</v>
      </c>
      <c r="E245" t="str">
        <v>0.85%</v>
      </c>
      <c r="F245" t="str">
        <v>0.83%</v>
      </c>
    </row>
    <row r="246">
      <c r="B246" t="str">
        <v>Interest Coverage (Quarter)</v>
      </c>
    </row>
    <row r="247">
      <c r="B247" t="str">
        <v>Total Equity (Quarter)</v>
      </c>
      <c r="C247" t="str">
        <v>345,062 B</v>
      </c>
      <c r="D247" t="str">
        <v>330,941 B</v>
      </c>
      <c r="E247" t="str">
        <v>337,898 B</v>
      </c>
      <c r="F247" t="str">
        <v>322,072 B</v>
      </c>
    </row>
    <row r="248">
      <c r="B248" t="str">
        <v>Price to Book Value (Quarter)</v>
      </c>
      <c r="C248" t="str">
        <v>1.49</v>
      </c>
      <c r="D248" t="str">
        <v>1.71</v>
      </c>
      <c r="E248" t="str">
        <v>1.78</v>
      </c>
      <c r="F248" t="str">
        <v>1.80</v>
      </c>
    </row>
    <row r="249">
      <c r="B249" t="str">
        <v>Book Value Per Share (Quarter)</v>
      </c>
      <c r="C249" t="str">
        <v>2231.50</v>
      </c>
      <c r="D249" t="str">
        <v>2138.00</v>
      </c>
      <c r="E249" t="str">
        <v>2185.23</v>
      </c>
      <c r="F249" t="str">
        <v>2081.71</v>
      </c>
    </row>
    <row r="250">
      <c r="B250" t="str">
        <v>Price to Tang. Book Value (Quarter)</v>
      </c>
      <c r="C250" t="str">
        <v>1.49</v>
      </c>
      <c r="D250" t="str">
        <v>1.71</v>
      </c>
      <c r="E250" t="str">
        <v>1.78</v>
      </c>
      <c r="F250" t="str">
        <v>1.80</v>
      </c>
    </row>
    <row r="251">
      <c r="B251" t="str">
        <v>Tang. Book Value Per Share (Quarter)</v>
      </c>
      <c r="C251" t="str">
        <v>2231.50</v>
      </c>
      <c r="D251" t="str">
        <v>2138.00</v>
      </c>
      <c r="E251" t="str">
        <v>2185.23</v>
      </c>
      <c r="F251" t="str">
        <v>2081.71</v>
      </c>
    </row>
    <row r="252">
      <c r="B252" t="str">
        <v>Short-term Debt (Quarter)</v>
      </c>
    </row>
    <row r="253">
      <c r="B253" t="str">
        <v>Long-term Debt (Quarter)</v>
      </c>
    </row>
    <row r="254">
      <c r="B254" t="str">
        <v>Common Equity</v>
      </c>
      <c r="C254" t="str">
        <v>338,204 B</v>
      </c>
      <c r="D254" t="str">
        <v>324,034 B</v>
      </c>
      <c r="E254" t="str">
        <v>331,191 B</v>
      </c>
      <c r="F254" t="str">
        <v>315,501 B</v>
      </c>
    </row>
    <row r="255">
      <c r="B255" t="str">
        <v>Total Debt (Quarter)</v>
      </c>
    </row>
    <row r="256">
      <c r="B256" t="str">
        <v>Net Debt (Quarter)</v>
      </c>
    </row>
    <row r="257">
      <c r="B257" t="str">
        <v>Working Capital (Quarter)</v>
      </c>
    </row>
    <row r="258">
      <c r="B258" t="str">
        <v>Operating Cash Flow (Quarter)</v>
      </c>
      <c r="C258" t="str">
        <v>50,250 B</v>
      </c>
      <c r="D258" t="str">
        <v>(86,072 B)</v>
      </c>
      <c r="E258" t="str">
        <v>24,340 B</v>
      </c>
      <c r="F258" t="str">
        <v>2,756 B</v>
      </c>
    </row>
    <row r="259">
      <c r="B259" t="str">
        <v>Capital expenditure (Quarter)</v>
      </c>
      <c r="C259" t="str">
        <v>(1,262 B)</v>
      </c>
      <c r="D259" t="str">
        <v>(737 B)</v>
      </c>
      <c r="E259" t="str">
        <v>(1,022 B)</v>
      </c>
      <c r="F259" t="str">
        <v>(2,086 B)</v>
      </c>
    </row>
    <row r="260">
      <c r="B260" t="str">
        <v>Free cash flow (Quarter)</v>
      </c>
      <c r="C260" t="str">
        <v>48,988 B</v>
      </c>
      <c r="D260" t="str">
        <v>(86,809 B)</v>
      </c>
      <c r="E260" t="str">
        <v>23,318 B</v>
      </c>
      <c r="F260" t="str">
        <v>670 B</v>
      </c>
    </row>
    <row r="261">
      <c r="B261" t="str">
        <v>Free cash flow per share (Quarter)</v>
      </c>
      <c r="C261" t="str">
        <v>323.23</v>
      </c>
      <c r="D261" t="str">
        <v>-572.78</v>
      </c>
      <c r="E261" t="str">
        <v>153.85</v>
      </c>
      <c r="F261" t="str">
        <v>4.42</v>
      </c>
    </row>
    <row r="262">
      <c r="B262" t="str">
        <v>EPS (Annual)</v>
      </c>
      <c r="H262" t="str">
        <v>373.80</v>
      </c>
      <c r="I262" t="str">
        <v>395.52</v>
      </c>
      <c r="J262" t="str">
        <v>396.54</v>
      </c>
      <c r="K262" t="str">
        <v>337.63</v>
      </c>
      <c r="L262" t="str">
        <v>204.98</v>
      </c>
      <c r="M262" t="str">
        <v>151.24</v>
      </c>
      <c r="N262" t="str">
        <v>278.67</v>
      </c>
      <c r="O262" t="str">
        <v>262.28</v>
      </c>
      <c r="P262" t="str">
        <v>235.08</v>
      </c>
      <c r="Q262" t="str">
        <v>1061.88</v>
      </c>
      <c r="R262" t="str">
        <v>1029.53</v>
      </c>
      <c r="S262" t="str">
        <v>982.67</v>
      </c>
      <c r="T262" t="str">
        <v>865.22</v>
      </c>
      <c r="U262" t="str">
        <v>757.26</v>
      </c>
      <c r="V262" t="str">
        <v>611.41</v>
      </c>
      <c r="W262" t="str">
        <v>930.10</v>
      </c>
      <c r="X262" t="str">
        <v>592.73</v>
      </c>
      <c r="Y262" t="str">
        <v>483.43</v>
      </c>
    </row>
    <row r="263">
      <c r="B263" t="str">
        <v>PE Ratio (Annual)</v>
      </c>
      <c r="H263" t="str">
        <v>9.79</v>
      </c>
      <c r="I263" t="str">
        <v>10.32</v>
      </c>
      <c r="J263" t="str">
        <v>14.44</v>
      </c>
      <c r="K263" t="str">
        <v>14.63</v>
      </c>
      <c r="L263" t="str">
        <v>20.05</v>
      </c>
      <c r="M263" t="str">
        <v>27.57</v>
      </c>
      <c r="N263" t="str">
        <v>15.79</v>
      </c>
      <c r="O263" t="str">
        <v>13.95</v>
      </c>
      <c r="P263" t="str">
        <v>15.48</v>
      </c>
      <c r="Q263" t="str">
        <v>10.99</v>
      </c>
      <c r="R263" t="str">
        <v>11.10</v>
      </c>
      <c r="S263" t="str">
        <v>11.85</v>
      </c>
      <c r="T263" t="str">
        <v>8.38</v>
      </c>
      <c r="U263" t="str">
        <v>9.18</v>
      </c>
      <c r="V263" t="str">
        <v>11.04</v>
      </c>
      <c r="W263" t="str">
        <v>11.28</v>
      </c>
      <c r="X263" t="str">
        <v>12.90</v>
      </c>
      <c r="Y263" t="str">
        <v>9.48</v>
      </c>
    </row>
    <row r="264">
      <c r="B264" t="str">
        <v>Price to Sales (Annual)</v>
      </c>
      <c r="H264" t="str">
        <v>2.67</v>
      </c>
      <c r="I264" t="str">
        <v>3.10</v>
      </c>
      <c r="J264" t="str">
        <v>4.61</v>
      </c>
      <c r="K264" t="str">
        <v>4.66</v>
      </c>
      <c r="L264" t="str">
        <v>4.14</v>
      </c>
      <c r="M264" t="str">
        <v>3.62</v>
      </c>
      <c r="N264" t="str">
        <v>4.27</v>
      </c>
      <c r="O264" t="str">
        <v>3.90</v>
      </c>
      <c r="P264" t="str">
        <v>4.21</v>
      </c>
      <c r="Q264" t="str">
        <v>2.96</v>
      </c>
      <c r="R264" t="str">
        <v>3.30</v>
      </c>
      <c r="S264" t="str">
        <v>3.83</v>
      </c>
      <c r="T264" t="str">
        <v>3.01</v>
      </c>
      <c r="U264" t="str">
        <v>3.46</v>
      </c>
      <c r="V264" t="str">
        <v>3.46</v>
      </c>
      <c r="W264" t="str">
        <v>2.90</v>
      </c>
      <c r="X264" t="str">
        <v>2.67</v>
      </c>
      <c r="Y264" t="str">
        <v>2.01</v>
      </c>
    </row>
    <row r="265">
      <c r="B265" t="str">
        <v>EBITDA (Annual)</v>
      </c>
      <c r="H265" t="str">
        <v>79,117.26 B</v>
      </c>
      <c r="I265" t="str">
        <v>84,059.19 B</v>
      </c>
      <c r="J265" t="str">
        <v>80,555.03 B</v>
      </c>
      <c r="K265" t="str">
        <v>67,920.84 B</v>
      </c>
      <c r="L265" t="str">
        <v>44,217.57 B</v>
      </c>
      <c r="M265" t="str">
        <v>32,053.69 B</v>
      </c>
      <c r="N265" t="str">
        <v>45,165.56 B</v>
      </c>
      <c r="O265" t="str">
        <v>43,591.19 B</v>
      </c>
    </row>
    <row r="266">
      <c r="B266" t="str">
        <v>Return on Assets (Annual)</v>
      </c>
      <c r="H266" t="str">
        <v>2.65%</v>
      </c>
      <c r="I266" t="str">
        <v>3.01%</v>
      </c>
      <c r="J266" t="str">
        <v>3.06%</v>
      </c>
      <c r="K266" t="str">
        <v>2.74%</v>
      </c>
      <c r="L266" t="str">
        <v>1.85%</v>
      </c>
      <c r="M266" t="str">
        <v>1.23%</v>
      </c>
      <c r="N266" t="str">
        <v>2.43%</v>
      </c>
      <c r="O266" t="str">
        <v>2.49%</v>
      </c>
      <c r="P266" t="str">
        <v>2.57%</v>
      </c>
      <c r="Q266" t="str">
        <v>2.61%</v>
      </c>
      <c r="R266" t="str">
        <v>2.89%</v>
      </c>
      <c r="S266" t="str">
        <v>3.02%</v>
      </c>
      <c r="T266" t="str">
        <v>3.41%</v>
      </c>
      <c r="U266" t="str">
        <v>3.39%</v>
      </c>
      <c r="V266" t="str">
        <v>3.21%</v>
      </c>
      <c r="W266" t="str">
        <v>2.84%</v>
      </c>
      <c r="X266" t="str">
        <v>2.31%</v>
      </c>
      <c r="Y266" t="str">
        <v>2.42%</v>
      </c>
    </row>
    <row r="267">
      <c r="B267" t="str">
        <v>Return on Equity (Annual)</v>
      </c>
      <c r="H267" t="str">
        <v>17.48%</v>
      </c>
      <c r="I267" t="str">
        <v>18.91%</v>
      </c>
      <c r="J267" t="str">
        <v>19.30%</v>
      </c>
      <c r="K267" t="str">
        <v>17.10%</v>
      </c>
      <c r="L267" t="str">
        <v>10.76%</v>
      </c>
      <c r="M267" t="str">
        <v>9.45%</v>
      </c>
      <c r="N267" t="str">
        <v>16.66%</v>
      </c>
      <c r="O267" t="str">
        <v>17.68%</v>
      </c>
      <c r="P267" t="str">
        <v>17.39%</v>
      </c>
      <c r="Q267" t="str">
        <v>17.89%</v>
      </c>
      <c r="R267" t="str">
        <v>22.51%</v>
      </c>
      <c r="S267" t="str">
        <v>24.85%</v>
      </c>
      <c r="T267" t="str">
        <v>26.96%</v>
      </c>
      <c r="U267" t="str">
        <v>28.83%</v>
      </c>
      <c r="V267" t="str">
        <v>30.30%</v>
      </c>
      <c r="W267" t="str">
        <v>31.28%</v>
      </c>
      <c r="X267" t="str">
        <v>26.81%</v>
      </c>
      <c r="Y267" t="str">
        <v>26.65%</v>
      </c>
    </row>
    <row r="268">
      <c r="B268" t="str">
        <v>Return on Capital Employed (Annual)</v>
      </c>
      <c r="H268" t="str">
        <v>3.55%</v>
      </c>
      <c r="I268" t="str">
        <v>3.95%</v>
      </c>
      <c r="J268" t="str">
        <v>4.01%</v>
      </c>
      <c r="K268" t="str">
        <v>3.63%</v>
      </c>
      <c r="L268" t="str">
        <v>2.58%</v>
      </c>
      <c r="M268" t="str">
        <v>2.03%</v>
      </c>
      <c r="N268" t="str">
        <v>3.20%</v>
      </c>
      <c r="O268" t="str">
        <v>3.44%</v>
      </c>
      <c r="P268" t="str">
        <v>3.46%</v>
      </c>
      <c r="Q268" t="str">
        <v>3.61%</v>
      </c>
      <c r="R268" t="str">
        <v>3.63%</v>
      </c>
      <c r="S268" t="str">
        <v>3.97%</v>
      </c>
      <c r="T268" t="str">
        <v>4.44%</v>
      </c>
      <c r="U268" t="str">
        <v>4.44%</v>
      </c>
      <c r="V268" t="str">
        <v>4.02%</v>
      </c>
      <c r="W268" t="str">
        <v>3.99%</v>
      </c>
      <c r="X268" t="str">
        <v>3.04%</v>
      </c>
      <c r="Y268" t="str">
        <v>6.78%</v>
      </c>
    </row>
    <row r="269">
      <c r="B269" t="str">
        <v>Interest Coverage (Annual)</v>
      </c>
    </row>
    <row r="270">
      <c r="B270" t="str">
        <v>Price to Book Value (Annual)</v>
      </c>
      <c r="H270" t="str">
        <v>1.71</v>
      </c>
      <c r="I270" t="str">
        <v>1.95</v>
      </c>
      <c r="J270" t="str">
        <v>2.79</v>
      </c>
      <c r="K270" t="str">
        <v>2.50</v>
      </c>
      <c r="L270" t="str">
        <v>2.16</v>
      </c>
      <c r="M270" t="str">
        <v>2.61</v>
      </c>
      <c r="N270" t="str">
        <v>2.63</v>
      </c>
      <c r="O270" t="str">
        <v>2.47</v>
      </c>
      <c r="P270" t="str">
        <v>2.69</v>
      </c>
      <c r="Q270" t="str">
        <v>1.97</v>
      </c>
      <c r="R270" t="str">
        <v>2.50</v>
      </c>
      <c r="S270" t="str">
        <v>2.95</v>
      </c>
      <c r="T270" t="str">
        <v>2.26</v>
      </c>
      <c r="U270" t="str">
        <v>2.65</v>
      </c>
      <c r="V270" t="str">
        <v>3.35</v>
      </c>
      <c r="W270" t="str">
        <v>3.53</v>
      </c>
      <c r="X270" t="str">
        <v>3.46</v>
      </c>
      <c r="Y270" t="str">
        <v>2.53</v>
      </c>
    </row>
    <row r="271">
      <c r="B271" t="str">
        <v>Book Value Per Share (Annual)</v>
      </c>
      <c r="H271" t="str">
        <v>2138.00</v>
      </c>
      <c r="I271" t="str">
        <v>2091.78</v>
      </c>
      <c r="J271" t="str">
        <v>2054.40</v>
      </c>
      <c r="K271" t="str">
        <v>1974.77</v>
      </c>
      <c r="L271" t="str">
        <v>1905.10</v>
      </c>
      <c r="M271" t="str">
        <v>1600.20</v>
      </c>
      <c r="N271" t="str">
        <v>1672.72</v>
      </c>
      <c r="O271" t="str">
        <v>1483.37</v>
      </c>
      <c r="P271" t="str">
        <v>1351.88</v>
      </c>
      <c r="Q271" t="str">
        <v>5935.40</v>
      </c>
      <c r="R271" t="str">
        <v>4573.84</v>
      </c>
      <c r="S271" t="str">
        <v>3954.75</v>
      </c>
      <c r="T271" t="str">
        <v>3209.01</v>
      </c>
      <c r="U271" t="str">
        <v>2627.04</v>
      </c>
      <c r="V271" t="str">
        <v>2017.68</v>
      </c>
      <c r="W271" t="str">
        <v>2973.19</v>
      </c>
      <c r="X271" t="str">
        <v>2210.68</v>
      </c>
      <c r="Y271" t="str">
        <v>1813.89</v>
      </c>
    </row>
    <row r="272">
      <c r="B272" t="str">
        <v>Price to Tang. Book Value (Annual)</v>
      </c>
      <c r="H272" t="str">
        <v>1.71</v>
      </c>
      <c r="I272" t="str">
        <v>1.95</v>
      </c>
      <c r="J272" t="str">
        <v>2.79</v>
      </c>
      <c r="K272" t="str">
        <v>2.50</v>
      </c>
      <c r="L272" t="str">
        <v>2.16</v>
      </c>
      <c r="M272" t="str">
        <v>2.61</v>
      </c>
      <c r="N272" t="str">
        <v>2.63</v>
      </c>
      <c r="O272" t="str">
        <v>2.47</v>
      </c>
      <c r="P272" t="str">
        <v>2.69</v>
      </c>
      <c r="Q272" t="str">
        <v>1.97</v>
      </c>
      <c r="R272" t="str">
        <v>2.50</v>
      </c>
      <c r="S272" t="str">
        <v>2.95</v>
      </c>
      <c r="T272" t="str">
        <v>2.26</v>
      </c>
      <c r="U272" t="str">
        <v>2.65</v>
      </c>
      <c r="V272" t="str">
        <v>3.35</v>
      </c>
      <c r="W272" t="str">
        <v>3.53</v>
      </c>
      <c r="X272" t="str">
        <v>3.46</v>
      </c>
      <c r="Y272" t="str">
        <v>2.53</v>
      </c>
    </row>
    <row r="273">
      <c r="B273" t="str">
        <v>Tang. Book Value Per Share (Annual)</v>
      </c>
      <c r="H273" t="str">
        <v>2138.00</v>
      </c>
      <c r="I273" t="str">
        <v>2091.78</v>
      </c>
      <c r="J273" t="str">
        <v>2054.40</v>
      </c>
      <c r="K273" t="str">
        <v>1974.77</v>
      </c>
      <c r="L273" t="str">
        <v>1905.10</v>
      </c>
      <c r="M273" t="str">
        <v>1600.20</v>
      </c>
      <c r="N273" t="str">
        <v>1672.72</v>
      </c>
      <c r="O273" t="str">
        <v>1483.37</v>
      </c>
      <c r="P273" t="str">
        <v>1351.88</v>
      </c>
      <c r="Q273" t="str">
        <v>5935.40</v>
      </c>
      <c r="R273" t="str">
        <v>4573.84</v>
      </c>
      <c r="S273" t="str">
        <v>3954.75</v>
      </c>
      <c r="T273" t="str">
        <v>3209.01</v>
      </c>
      <c r="U273" t="str">
        <v>2627.04</v>
      </c>
      <c r="V273" t="str">
        <v>2017.68</v>
      </c>
      <c r="W273" t="str">
        <v>2973.19</v>
      </c>
      <c r="X273" t="str">
        <v>2210.68</v>
      </c>
      <c r="Y273" t="str">
        <v>1813.89</v>
      </c>
    </row>
    <row r="274">
      <c r="B274" t="str">
        <v>Short-term Debt (Annual)</v>
      </c>
    </row>
    <row r="275">
      <c r="B275" t="str">
        <v>Long-term Debt (Annual)</v>
      </c>
    </row>
    <row r="276">
      <c r="B276" t="str">
        <v>Total Debt (Annual)</v>
      </c>
    </row>
    <row r="277">
      <c r="B277" t="str">
        <v>Net Debt (Annual)</v>
      </c>
    </row>
    <row r="278">
      <c r="B278" t="str">
        <v>Working capital (Annual)</v>
      </c>
    </row>
    <row r="279">
      <c r="B279" t="str">
        <v>Operating Cash Flow (Annual)</v>
      </c>
      <c r="H279" t="str">
        <v>14,617 B</v>
      </c>
      <c r="I279" t="str">
        <v>24,283 B</v>
      </c>
      <c r="J279" t="str">
        <v>(4,971 B)</v>
      </c>
      <c r="K279" t="str">
        <v>97,506 B</v>
      </c>
      <c r="L279" t="str">
        <v>32,588 B</v>
      </c>
      <c r="M279" t="str">
        <v>66,689 B</v>
      </c>
      <c r="N279" t="str">
        <v>44,583 B</v>
      </c>
      <c r="O279" t="str">
        <v>57,262 B</v>
      </c>
      <c r="P279" t="str">
        <v>39,299 B</v>
      </c>
      <c r="Q279" t="str">
        <v>21,771 B</v>
      </c>
      <c r="R279" t="str">
        <v>45,545 B</v>
      </c>
      <c r="S279" t="str">
        <v>75,823 B</v>
      </c>
      <c r="T279" t="str">
        <v>(490 B)</v>
      </c>
      <c r="U279" t="str">
        <v>(24,367 B)</v>
      </c>
      <c r="V279" t="str">
        <v>15,551 B</v>
      </c>
      <c r="W279" t="str">
        <v>44,813 B</v>
      </c>
      <c r="X279" t="str">
        <v>1,507 B</v>
      </c>
      <c r="Y279" t="str">
        <v>(15,798 B)</v>
      </c>
    </row>
    <row r="280">
      <c r="B280" t="str">
        <v>Capital expenditure (Annual)</v>
      </c>
      <c r="H280" t="str">
        <v>(6,344 B)</v>
      </c>
      <c r="I280" t="str">
        <v>(10,335 B)</v>
      </c>
      <c r="J280" t="str">
        <v>(8,177 B)</v>
      </c>
      <c r="K280" t="str">
        <v>(10,538 B)</v>
      </c>
      <c r="L280" t="str">
        <v>(8,254 B)</v>
      </c>
      <c r="M280" t="str">
        <v>(3,129 B)</v>
      </c>
      <c r="N280" t="str">
        <v>(3,695 B)</v>
      </c>
      <c r="O280" t="str">
        <v>(1,823 B)</v>
      </c>
      <c r="P280" t="str">
        <v>(2,006 B)</v>
      </c>
      <c r="Q280" t="str">
        <v>(3,653 B)</v>
      </c>
      <c r="R280" t="str">
        <v>(3,285 B)</v>
      </c>
      <c r="S280" t="str">
        <v>(3,065 B)</v>
      </c>
      <c r="T280" t="str">
        <v>(1,948 B)</v>
      </c>
      <c r="U280" t="str">
        <v>(1,445 B)</v>
      </c>
      <c r="V280" t="str">
        <v>(601 B)</v>
      </c>
      <c r="W280" t="str">
        <v>(512 B)</v>
      </c>
      <c r="X280" t="str">
        <v>(442 B)</v>
      </c>
      <c r="Y280" t="str">
        <v>(640 B)</v>
      </c>
    </row>
    <row r="281">
      <c r="B281" t="str">
        <v>Free cash flow (Annual)</v>
      </c>
      <c r="H281" t="str">
        <v>8,273 B</v>
      </c>
      <c r="I281" t="str">
        <v>13,949 B</v>
      </c>
      <c r="J281" t="str">
        <v>(13,149 B)</v>
      </c>
      <c r="K281" t="str">
        <v>86,968 B</v>
      </c>
      <c r="L281" t="str">
        <v>24,334 B</v>
      </c>
      <c r="M281" t="str">
        <v>63,560 B</v>
      </c>
      <c r="N281" t="str">
        <v>40,888 B</v>
      </c>
      <c r="O281" t="str">
        <v>55,440 B</v>
      </c>
      <c r="P281" t="str">
        <v>37,293 B</v>
      </c>
      <c r="Q281" t="str">
        <v>18,118 B</v>
      </c>
      <c r="R281" t="str">
        <v>42,260 B</v>
      </c>
      <c r="S281" t="str">
        <v>72,758 B</v>
      </c>
      <c r="T281" t="str">
        <v>(2,438 B)</v>
      </c>
      <c r="U281" t="str">
        <v>(25,813 B)</v>
      </c>
      <c r="V281" t="str">
        <v>14,950 B</v>
      </c>
      <c r="W281" t="str">
        <v>44,302 B</v>
      </c>
      <c r="X281" t="str">
        <v>1,065 B</v>
      </c>
      <c r="Y281" t="str">
        <v>(16,437 B)</v>
      </c>
    </row>
    <row r="282">
      <c r="B282" t="str">
        <v>Free cash flow per share (Annual)</v>
      </c>
      <c r="H282" t="str">
        <v>54.58</v>
      </c>
      <c r="I282" t="str">
        <v>92.03</v>
      </c>
      <c r="J282" t="str">
        <v>-86.76</v>
      </c>
      <c r="K282" t="str">
        <v>573.82</v>
      </c>
      <c r="L282" t="str">
        <v>160.56</v>
      </c>
      <c r="M282" t="str">
        <v>515.30</v>
      </c>
      <c r="N282" t="str">
        <v>331.49</v>
      </c>
      <c r="O282" t="str">
        <v>449.47</v>
      </c>
      <c r="P282" t="str">
        <v>302.34</v>
      </c>
      <c r="Q282" t="str">
        <v>734.43</v>
      </c>
      <c r="R282" t="str">
        <v>1713.05</v>
      </c>
      <c r="S282" t="str">
        <v>2949.35</v>
      </c>
      <c r="T282" t="str">
        <v>-98.85</v>
      </c>
      <c r="U282" t="str">
        <v>-1046.35</v>
      </c>
      <c r="V282" t="str">
        <v>606.02</v>
      </c>
      <c r="W282" t="str">
        <v>3591.65</v>
      </c>
      <c r="X282" t="str">
        <v>86.39</v>
      </c>
      <c r="Y282" t="str">
        <v>-1333.63</v>
      </c>
    </row>
    <row r="284">
      <c r="A284" t="str">
        <v>Key Stats</v>
      </c>
      <c r="B284" t="str">
        <v>Net Income</v>
      </c>
      <c r="C284" t="str">
        <v>15,493 B</v>
      </c>
      <c r="D284" t="str">
        <v>15,874 B</v>
      </c>
      <c r="E284" t="str">
        <v>14,502 B</v>
      </c>
      <c r="F284" t="str">
        <v>12,655 B</v>
      </c>
      <c r="G284" t="str">
        <v>61,971 B</v>
      </c>
      <c r="H284" t="str">
        <v>56,652 B</v>
      </c>
      <c r="I284" t="str">
        <v>59,945 B</v>
      </c>
      <c r="J284" t="str">
        <v>60,100 B</v>
      </c>
      <c r="K284" t="str">
        <v>51,170 B</v>
      </c>
      <c r="L284" t="str">
        <v>31,067 B</v>
      </c>
      <c r="M284" t="str">
        <v>18,655 B</v>
      </c>
      <c r="N284" t="str">
        <v>34,373 B</v>
      </c>
      <c r="O284" t="str">
        <v>32,351 B</v>
      </c>
      <c r="P284" t="str">
        <v>28,997 B</v>
      </c>
    </row>
    <row r="285">
      <c r="B285" t="str">
        <v>Net Income - TTM (Q1)</v>
      </c>
      <c r="G285" t="str">
        <v>58,524 B</v>
      </c>
      <c r="H285" t="str">
        <v>56,652 B</v>
      </c>
      <c r="I285" t="str">
        <v>59,945 B</v>
      </c>
      <c r="J285" t="str">
        <v>60,100 B</v>
      </c>
      <c r="K285" t="str">
        <v>51,170 B</v>
      </c>
      <c r="L285" t="str">
        <v>31,067 B</v>
      </c>
      <c r="M285" t="str">
        <v>18,655 B</v>
      </c>
      <c r="N285" t="str">
        <v>34,373 B</v>
      </c>
      <c r="O285" t="str">
        <v>32,351 B</v>
      </c>
      <c r="P285" t="str">
        <v>28,997 B</v>
      </c>
    </row>
    <row r="286">
      <c r="B286" t="str">
        <v>Net Income - Div (TTM)</v>
      </c>
      <c r="G286" t="str">
        <v>346.00</v>
      </c>
      <c r="H286" t="str">
        <v>346.00</v>
      </c>
      <c r="I286" t="str">
        <v>343.40</v>
      </c>
      <c r="J286" t="str">
        <v>319.00</v>
      </c>
      <c r="K286" t="str">
        <v>288.22</v>
      </c>
      <c r="L286" t="str">
        <v>174.25</v>
      </c>
      <c r="M286" t="str">
        <v>98.91</v>
      </c>
      <c r="N286" t="str">
        <v>168.20</v>
      </c>
      <c r="O286" t="str">
        <v>131.14</v>
      </c>
      <c r="P286" t="str">
        <v>106.75</v>
      </c>
    </row>
    <row r="287">
      <c r="B287" t="str">
        <v>Net Income - Payout Ratio</v>
      </c>
      <c r="G287" t="str">
        <v>84.62%</v>
      </c>
      <c r="H287" t="str">
        <v>92.56%</v>
      </c>
      <c r="I287" t="str">
        <v>86.52%</v>
      </c>
      <c r="J287" t="str">
        <v>80.44%</v>
      </c>
      <c r="K287" t="str">
        <v>85.37%</v>
      </c>
      <c r="L287" t="str">
        <v>85.01%</v>
      </c>
      <c r="M287" t="str">
        <v>80.36%</v>
      </c>
      <c r="N287" t="str">
        <v>74.17%</v>
      </c>
      <c r="O287" t="str">
        <v>61.44%</v>
      </c>
      <c r="P287" t="str">
        <v>55.79%</v>
      </c>
    </row>
    <row r="288">
      <c r="B288" t="str">
        <v>Net Income - Div Yield</v>
      </c>
      <c r="G288" t="str">
        <v>12.14%</v>
      </c>
      <c r="H288" t="str">
        <v>10.06%</v>
      </c>
      <c r="I288" t="str">
        <v>9.04%</v>
      </c>
      <c r="J288" t="str">
        <v>4.98%</v>
      </c>
      <c r="K288" t="str">
        <v>5.88%</v>
      </c>
      <c r="L288" t="str">
        <v>3.81%</v>
      </c>
      <c r="M288" t="str">
        <v>2.41%</v>
      </c>
      <c r="N288" t="str">
        <v>3.85%</v>
      </c>
      <c r="O288" t="str">
        <v>3.49%</v>
      </c>
      <c r="P288" t="str">
        <v>3.04%</v>
      </c>
    </row>
    <row r="289">
      <c r="B289" t="str">
        <v>EPS</v>
      </c>
      <c r="C289" t="str">
        <v>102.22</v>
      </c>
      <c r="D289" t="str">
        <v>104.74</v>
      </c>
      <c r="E289" t="str">
        <v>95.69</v>
      </c>
      <c r="F289" t="str">
        <v>83.50</v>
      </c>
      <c r="G289" t="str">
        <v>408.89</v>
      </c>
      <c r="H289" t="str">
        <v>373.80</v>
      </c>
      <c r="I289" t="str">
        <v>395.52</v>
      </c>
      <c r="J289" t="str">
        <v>396.54</v>
      </c>
      <c r="K289" t="str">
        <v>337.63</v>
      </c>
      <c r="L289" t="str">
        <v>204.98</v>
      </c>
      <c r="M289" t="str">
        <v>123.09</v>
      </c>
      <c r="N289" t="str">
        <v>226.79</v>
      </c>
      <c r="O289" t="str">
        <v>213.46</v>
      </c>
      <c r="P289" t="str">
        <v>191.32</v>
      </c>
    </row>
    <row r="290">
      <c r="B290" t="str">
        <v>EPS - TTM (Q1)</v>
      </c>
      <c r="G290" t="str">
        <v>386.14</v>
      </c>
      <c r="H290" t="str">
        <v>373.80</v>
      </c>
      <c r="I290" t="str">
        <v>395.52</v>
      </c>
      <c r="J290" t="str">
        <v>396.54</v>
      </c>
      <c r="K290" t="str">
        <v>337.63</v>
      </c>
      <c r="L290" t="str">
        <v>204.98</v>
      </c>
      <c r="M290" t="str">
        <v>123.09</v>
      </c>
      <c r="N290" t="str">
        <v>226.79</v>
      </c>
      <c r="O290" t="str">
        <v>213.46</v>
      </c>
      <c r="P290" t="str">
        <v>191.32</v>
      </c>
    </row>
    <row r="291">
      <c r="B291" t="str">
        <v>EPS - Div (TTM)</v>
      </c>
      <c r="G291" t="str">
        <v>346.00</v>
      </c>
      <c r="H291" t="str">
        <v>346.00</v>
      </c>
      <c r="I291" t="str">
        <v>343.40</v>
      </c>
      <c r="J291" t="str">
        <v>319.00</v>
      </c>
      <c r="K291" t="str">
        <v>288.22</v>
      </c>
      <c r="L291" t="str">
        <v>174.25</v>
      </c>
      <c r="M291" t="str">
        <v>98.91</v>
      </c>
      <c r="N291" t="str">
        <v>168.20</v>
      </c>
      <c r="O291" t="str">
        <v>131.14</v>
      </c>
      <c r="P291" t="str">
        <v>106.75</v>
      </c>
    </row>
    <row r="292">
      <c r="B292" t="str">
        <v>EPS - Payout Ratio</v>
      </c>
      <c r="G292" t="str">
        <v>84.62%</v>
      </c>
      <c r="H292" t="str">
        <v>92.56%</v>
      </c>
      <c r="I292" t="str">
        <v>86.52%</v>
      </c>
      <c r="J292" t="str">
        <v>80.44%</v>
      </c>
      <c r="K292" t="str">
        <v>85.37%</v>
      </c>
      <c r="L292" t="str">
        <v>85.01%</v>
      </c>
      <c r="M292" t="str">
        <v>80.36%</v>
      </c>
      <c r="N292" t="str">
        <v>74.17%</v>
      </c>
      <c r="O292" t="str">
        <v>61.44%</v>
      </c>
      <c r="P292" t="str">
        <v>55.79%</v>
      </c>
    </row>
    <row r="293">
      <c r="B293" t="str">
        <v>EPS - Div Yield</v>
      </c>
      <c r="G293" t="str">
        <v>12.14%</v>
      </c>
      <c r="H293" t="str">
        <v>10.06%</v>
      </c>
      <c r="I293" t="str">
        <v>9.04%</v>
      </c>
      <c r="J293" t="str">
        <v>4.98%</v>
      </c>
      <c r="K293" t="str">
        <v>5.88%</v>
      </c>
      <c r="L293" t="str">
        <v>3.81%</v>
      </c>
      <c r="M293" t="str">
        <v>2.41%</v>
      </c>
      <c r="N293" t="str">
        <v>3.85%</v>
      </c>
      <c r="O293" t="str">
        <v>3.49%</v>
      </c>
      <c r="P293" t="str">
        <v>3.04%</v>
      </c>
    </row>
    <row r="294">
      <c r="B294" t="str">
        <v>Revenue</v>
      </c>
      <c r="C294" t="str">
        <v>52,838 B</v>
      </c>
      <c r="D294" t="str">
        <v>52,589 B</v>
      </c>
      <c r="E294" t="str">
        <v>52,796 B</v>
      </c>
      <c r="F294" t="str">
        <v>52,528 B</v>
      </c>
      <c r="G294" t="str">
        <v>211,352 B</v>
      </c>
      <c r="H294" t="str">
        <v>207,783 B</v>
      </c>
      <c r="I294" t="str">
        <v>199,266 B</v>
      </c>
      <c r="J294" t="str">
        <v>188,075 B</v>
      </c>
      <c r="K294" t="str">
        <v>160,812 B</v>
      </c>
      <c r="L294" t="str">
        <v>150,513 B</v>
      </c>
      <c r="M294" t="str">
        <v>141,970 B</v>
      </c>
      <c r="N294" t="str">
        <v>127,130 B</v>
      </c>
      <c r="O294" t="str">
        <v>115,761 B</v>
      </c>
      <c r="P294" t="str">
        <v>106,688 B</v>
      </c>
    </row>
    <row r="295">
      <c r="B295" t="str">
        <v>Revenue - TTM (Q1)</v>
      </c>
      <c r="G295" t="str">
        <v>210,751 B</v>
      </c>
      <c r="H295" t="str">
        <v>207,783 B</v>
      </c>
      <c r="I295" t="str">
        <v>199,266 B</v>
      </c>
      <c r="J295" t="str">
        <v>188,075 B</v>
      </c>
      <c r="K295" t="str">
        <v>160,812 B</v>
      </c>
      <c r="L295" t="str">
        <v>150,513 B</v>
      </c>
      <c r="M295" t="str">
        <v>141,970 B</v>
      </c>
      <c r="N295" t="str">
        <v>127,130 B</v>
      </c>
      <c r="O295" t="str">
        <v>115,761 B</v>
      </c>
      <c r="P295" t="str">
        <v>106,688 B</v>
      </c>
    </row>
    <row r="296">
      <c r="B296" t="str">
        <v>Revenue - Div (TTM)</v>
      </c>
      <c r="G296" t="str">
        <v>346.00</v>
      </c>
      <c r="H296" t="str">
        <v>346.00</v>
      </c>
      <c r="I296" t="str">
        <v>343.40</v>
      </c>
      <c r="J296" t="str">
        <v>319.00</v>
      </c>
      <c r="K296" t="str">
        <v>288.22</v>
      </c>
      <c r="L296" t="str">
        <v>174.25</v>
      </c>
      <c r="M296" t="str">
        <v>98.91</v>
      </c>
      <c r="N296" t="str">
        <v>168.20</v>
      </c>
      <c r="O296" t="str">
        <v>131.14</v>
      </c>
      <c r="P296" t="str">
        <v>106.75</v>
      </c>
    </row>
    <row r="297">
      <c r="B297" t="str">
        <v>Revenue - Payout Ratio</v>
      </c>
      <c r="G297" t="str">
        <v>84.62%</v>
      </c>
      <c r="H297" t="str">
        <v>92.56%</v>
      </c>
      <c r="I297" t="str">
        <v>86.52%</v>
      </c>
      <c r="J297" t="str">
        <v>80.44%</v>
      </c>
      <c r="K297" t="str">
        <v>85.37%</v>
      </c>
      <c r="L297" t="str">
        <v>85.01%</v>
      </c>
      <c r="M297" t="str">
        <v>80.36%</v>
      </c>
      <c r="N297" t="str">
        <v>74.17%</v>
      </c>
      <c r="O297" t="str">
        <v>61.44%</v>
      </c>
      <c r="P297" t="str">
        <v>55.79%</v>
      </c>
    </row>
    <row r="298">
      <c r="B298" t="str">
        <v>Revenue - Div Yield</v>
      </c>
      <c r="G298" t="str">
        <v>12.14%</v>
      </c>
      <c r="H298" t="str">
        <v>10.06%</v>
      </c>
      <c r="I298" t="str">
        <v>9.04%</v>
      </c>
      <c r="J298" t="str">
        <v>4.98%</v>
      </c>
      <c r="K298" t="str">
        <v>5.88%</v>
      </c>
      <c r="L298" t="str">
        <v>3.81%</v>
      </c>
      <c r="M298" t="str">
        <v>2.41%</v>
      </c>
      <c r="N298" t="str">
        <v>3.85%</v>
      </c>
      <c r="O298" t="str">
        <v>3.49%</v>
      </c>
      <c r="P298" t="str">
        <v>3.04%</v>
      </c>
    </row>
    <row r="299">
      <c r="B299" t="str">
        <v>Current PE Ratio (Annualised)</v>
      </c>
      <c r="H299" t="str">
        <v>6.97</v>
      </c>
    </row>
    <row r="300">
      <c r="B300" t="str">
        <v>Current PE Ratio (TTM)</v>
      </c>
      <c r="H300" t="str">
        <v>7.38</v>
      </c>
    </row>
    <row r="301">
      <c r="B301" t="str">
        <v>Forward PE Ratio</v>
      </c>
      <c r="H301" t="str">
        <v>7.03</v>
      </c>
    </row>
    <row r="302">
      <c r="B302" t="str">
        <v>IHSG PE Ratio TTM (Median)</v>
      </c>
      <c r="H302" t="str">
        <v>7.41</v>
      </c>
    </row>
    <row r="303">
      <c r="B303" t="str">
        <v>Earnings Yield (TTM)</v>
      </c>
      <c r="H303" t="str">
        <v>13.55%</v>
      </c>
    </row>
    <row r="304">
      <c r="B304" t="str">
        <v>Current Price to Sales (TTM)</v>
      </c>
      <c r="H304" t="str">
        <v>2.05</v>
      </c>
    </row>
    <row r="305">
      <c r="B305" t="str">
        <v>Current Price to Book Value</v>
      </c>
      <c r="H305" t="str">
        <v>1.28</v>
      </c>
    </row>
    <row r="306">
      <c r="B306" t="str">
        <v>Current Price To Cashflow (TTM)</v>
      </c>
      <c r="H306" t="str">
        <v>-49.50</v>
      </c>
    </row>
    <row r="307">
      <c r="B307" t="str">
        <v>Current Price To Free Cashflow (TTM)</v>
      </c>
      <c r="H307" t="str">
        <v>-31.22</v>
      </c>
    </row>
    <row r="308">
      <c r="B308" t="str">
        <v>EV to EBIT (TTM)</v>
      </c>
      <c r="H308" t="str">
        <v>5.41</v>
      </c>
    </row>
    <row r="309">
      <c r="B309" t="str">
        <v>EV to EBITDA (TTM)</v>
      </c>
      <c r="H309" t="str">
        <v>5.02</v>
      </c>
    </row>
    <row r="310">
      <c r="B310" t="str">
        <v>PEG Ratio</v>
      </c>
      <c r="H310" t="str">
        <v>-1.34</v>
      </c>
    </row>
    <row r="311">
      <c r="B311" t="str">
        <v>PEG Ratio (3yr)</v>
      </c>
      <c r="H311" t="str">
        <v>2.14</v>
      </c>
    </row>
    <row r="312">
      <c r="B312" t="str">
        <v>PEG (Forward)</v>
      </c>
      <c r="H312" t="str">
        <v>1.52</v>
      </c>
    </row>
    <row r="313">
      <c r="B313" t="str">
        <v>Current EPS (TTM)</v>
      </c>
      <c r="H313" t="str">
        <v>386.14</v>
      </c>
    </row>
    <row r="314">
      <c r="B314" t="str">
        <v>Current EPS (Annualised)</v>
      </c>
      <c r="H314" t="str">
        <v>408.89</v>
      </c>
    </row>
    <row r="315">
      <c r="B315" t="str">
        <v>Revenue Per Share (TTM)</v>
      </c>
      <c r="H315" t="str">
        <v>1,390.55</v>
      </c>
    </row>
    <row r="316">
      <c r="B316" t="str">
        <v>Cash Per Share (Quarter)</v>
      </c>
      <c r="C316" t="str">
        <v>218.13</v>
      </c>
    </row>
    <row r="317">
      <c r="B317" t="str">
        <v>Current Book Value Per Share</v>
      </c>
      <c r="H317" t="str">
        <v>2,231.50</v>
      </c>
    </row>
    <row r="318">
      <c r="B318" t="str">
        <v>Free Cashflow Per Share (TTM)</v>
      </c>
      <c r="H318" t="str">
        <v>-91.27</v>
      </c>
    </row>
    <row r="319">
      <c r="B319" t="str">
        <v>Debt to Equity Ratio (Quarter)</v>
      </c>
      <c r="C319" t="str">
        <v>0.01</v>
      </c>
    </row>
    <row r="320">
      <c r="B320" t="str">
        <v>LT Debt/Equity (Quarter)</v>
      </c>
      <c r="C320" t="str">
        <v>0.01</v>
      </c>
    </row>
    <row r="321">
      <c r="B321" t="str">
        <v>Total Liabilities/Equity (Quarter)</v>
      </c>
      <c r="C321" t="str">
        <v>5.63</v>
      </c>
    </row>
    <row r="322">
      <c r="B322" t="str">
        <v>Financial Leverage (Quarter)</v>
      </c>
      <c r="C322" t="str">
        <v>6.65</v>
      </c>
    </row>
    <row r="323">
      <c r="B323" t="str">
        <v>Free cash flow (Quarter)</v>
      </c>
      <c r="C323" t="str">
        <v>48,988 B</v>
      </c>
    </row>
    <row r="324">
      <c r="B324" t="str">
        <v>Altman Z-Score (Modified)</v>
      </c>
      <c r="H324" t="str">
        <v>0.76</v>
      </c>
    </row>
    <row r="325">
      <c r="B325" t="str">
        <v>Return on Assets (TTM)</v>
      </c>
      <c r="H325" t="str">
        <v>2.60%</v>
      </c>
    </row>
    <row r="326">
      <c r="B326" t="str">
        <v>Return on Equity (TTM)</v>
      </c>
      <c r="H326" t="str">
        <v>17.30%</v>
      </c>
    </row>
    <row r="327">
      <c r="B327" t="str">
        <v>Return on Capital Employed (TTM)</v>
      </c>
      <c r="H327" t="str">
        <v>3.45%</v>
      </c>
    </row>
    <row r="328">
      <c r="B328" t="str">
        <v>Return On Invested Capital (TTM)</v>
      </c>
      <c r="H328" t="str">
        <v>17.35%</v>
      </c>
    </row>
    <row r="329">
      <c r="B329" t="str">
        <v>Asset Turnover (TTM)</v>
      </c>
      <c r="H329" t="str">
        <v>0.10</v>
      </c>
    </row>
    <row r="330">
      <c r="B330" t="str">
        <v>Market Cap</v>
      </c>
      <c r="H330" t="str">
        <v>431,943 B</v>
      </c>
    </row>
    <row r="331">
      <c r="B331" t="str">
        <v>Enterprise Value</v>
      </c>
      <c r="H331" t="str">
        <v>409,700 B</v>
      </c>
    </row>
    <row r="332">
      <c r="B332" t="str">
        <v>Current Share Outstanding</v>
      </c>
      <c r="H332" t="str">
        <v>151.56 B</v>
      </c>
    </row>
    <row r="333">
      <c r="B333" t="str">
        <v>Free Float</v>
      </c>
      <c r="H333" t="str">
        <v>42.32%</v>
      </c>
    </row>
    <row r="334">
      <c r="B334" t="str">
        <v>Gross Profit Margin (Quarter)</v>
      </c>
      <c r="C334" t="str">
        <v>76.00%</v>
      </c>
    </row>
    <row r="335">
      <c r="B335" t="str">
        <v>Operating Profit Margin (Quarter)</v>
      </c>
      <c r="C335" t="str">
        <v>37.96%</v>
      </c>
    </row>
    <row r="336">
      <c r="B336" t="str">
        <v>Net Profit Margin (Quarter)</v>
      </c>
      <c r="C336" t="str">
        <v>29.32%</v>
      </c>
    </row>
    <row r="337">
      <c r="B337" t="str">
        <v>Revenue (Quarter YoY Growth)</v>
      </c>
      <c r="C337" t="str">
        <v>5.95%</v>
      </c>
    </row>
    <row r="338">
      <c r="B338" t="str">
        <v>Gross Profit (Quarter YoY Growth)</v>
      </c>
      <c r="C338" t="str">
        <v>11.90%</v>
      </c>
    </row>
    <row r="339">
      <c r="B339" t="str">
        <v>Net Income (Quarter YoY Growth)</v>
      </c>
      <c r="C339" t="str">
        <v>13.74%</v>
      </c>
    </row>
    <row r="340">
      <c r="B340" t="str">
        <v>Dividend</v>
      </c>
      <c r="H340" t="str">
        <v>209.00</v>
      </c>
    </row>
    <row r="341">
      <c r="B341" t="str">
        <v>Dividend (TTM)</v>
      </c>
      <c r="H341" t="str">
        <v>346.00</v>
      </c>
    </row>
    <row r="342">
      <c r="B342" t="str">
        <v>Payout Ratio</v>
      </c>
      <c r="H342" t="str">
        <v>84.62%</v>
      </c>
    </row>
    <row r="343">
      <c r="B343" t="str">
        <v>Dividend Yield</v>
      </c>
      <c r="H343" t="str">
        <v>12.14%</v>
      </c>
    </row>
    <row r="344">
      <c r="B344" t="str">
        <v>Latest Dividend Ex-Date</v>
      </c>
      <c r="H344" t="str">
        <v>21 Apr 26</v>
      </c>
    </row>
    <row r="345">
      <c r="B345" t="str">
        <v>Piotroski F-Score</v>
      </c>
      <c r="H345" t="str">
        <v>4.00</v>
      </c>
    </row>
    <row r="346">
      <c r="B346" t="str">
        <v>Relative Strength Rating</v>
      </c>
      <c r="H346" t="str">
        <v>19.00%</v>
      </c>
    </row>
    <row r="347">
      <c r="B347" t="str">
        <v>Rank (Market Cap)</v>
      </c>
      <c r="H347" t="str">
        <v>100.00%</v>
      </c>
    </row>
    <row r="348">
      <c r="B348" t="str">
        <v>Rank (Current PE Ratio TTM)</v>
      </c>
      <c r="H348" t="str">
        <v>77.00%</v>
      </c>
    </row>
    <row r="349">
      <c r="B349" t="str">
        <v>Rank (Earnings Yield)</v>
      </c>
      <c r="H349" t="str">
        <v>66.00%</v>
      </c>
    </row>
    <row r="350">
      <c r="B350" t="str">
        <v>Rank (P/S)</v>
      </c>
      <c r="H350" t="str">
        <v>39.00%</v>
      </c>
    </row>
    <row r="351">
      <c r="B351" t="str">
        <v>Rank (P/B)</v>
      </c>
      <c r="H351" t="str">
        <v>46.00%</v>
      </c>
    </row>
    <row r="352">
      <c r="B352" t="str">
        <v>Rank (Near 52 Weeks High)</v>
      </c>
      <c r="H352" t="str">
        <v>69.00%</v>
      </c>
    </row>
    <row r="353">
      <c r="B353" t="str">
        <v>Revenue (TTM)</v>
      </c>
      <c r="H353" t="str">
        <v>210,751 B</v>
      </c>
    </row>
    <row r="354">
      <c r="B354" t="str">
        <v>Gross Profit (TTM)</v>
      </c>
      <c r="H354" t="str">
        <v>154,769 B</v>
      </c>
    </row>
    <row r="355">
      <c r="B355" t="str">
        <v>EBITDA (TTM)</v>
      </c>
      <c r="H355" t="str">
        <v>81,612 B</v>
      </c>
    </row>
    <row r="356">
      <c r="B356" t="str">
        <v>Net Income (TTM)</v>
      </c>
      <c r="H356" t="str">
        <v>58,524 B</v>
      </c>
    </row>
    <row r="357">
      <c r="B357" t="str">
        <v>Cash (Quarter)</v>
      </c>
      <c r="C357" t="str">
        <v>33,059 B</v>
      </c>
    </row>
    <row r="358">
      <c r="B358" t="str">
        <v>Total Assets (Quarter)</v>
      </c>
      <c r="C358" t="str">
        <v>2,249,834 B</v>
      </c>
    </row>
    <row r="359">
      <c r="B359" t="str">
        <v>Total Liabilities (Quarter)</v>
      </c>
      <c r="C359" t="str">
        <v>1,904,772 B</v>
      </c>
    </row>
    <row r="360">
      <c r="B360" t="str">
        <v>Common Equity</v>
      </c>
      <c r="H360" t="str">
        <v>338,204 B</v>
      </c>
    </row>
    <row r="361">
      <c r="B361" t="str">
        <v>Total Equity</v>
      </c>
      <c r="H361" t="str">
        <v>345,062 B</v>
      </c>
    </row>
    <row r="362">
      <c r="B362" t="str">
        <v>Cash From Operations (TTM)</v>
      </c>
      <c r="H362" t="str">
        <v>(8,727 B)</v>
      </c>
    </row>
    <row r="363">
      <c r="B363" t="str">
        <v>Cash From Investing (TTM)</v>
      </c>
      <c r="H363" t="str">
        <v>(55,270 B)</v>
      </c>
    </row>
    <row r="364">
      <c r="B364" t="str">
        <v>Cash From Financing (TTM)</v>
      </c>
      <c r="H364" t="str">
        <v>(13,447 B)</v>
      </c>
    </row>
    <row r="365">
      <c r="B365" t="str">
        <v>Capital expenditure (TTM)</v>
      </c>
      <c r="H365" t="str">
        <v>(5,107 B)</v>
      </c>
    </row>
    <row r="366">
      <c r="B366" t="str">
        <v>Free cash flow (TTM)</v>
      </c>
      <c r="H366" t="str">
        <v>(13,834 B)</v>
      </c>
    </row>
  </sheetData>
  <ignoredErrors>
    <ignoredError numberStoredAsText="1" sqref="A1:Z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AADI</vt:lpstr>
      <vt:lpstr>AALI</vt:lpstr>
      <vt:lpstr>ANTM</vt:lpstr>
      <vt:lpstr>BBCA</vt:lpstr>
      <vt:lpstr>BBRI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